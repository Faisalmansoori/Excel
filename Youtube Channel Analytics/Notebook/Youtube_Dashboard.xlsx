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defaultThemeVersion="166925"/>
  <mc:AlternateContent xmlns:mc="http://schemas.openxmlformats.org/markup-compatibility/2006">
    <mc:Choice Requires="x15">
      <x15ac:absPath xmlns:x15ac="http://schemas.microsoft.com/office/spreadsheetml/2010/11/ac" url="C:\Users\anash\OneDrive\Desktop\Github\Excel\Youtube\Notebook\"/>
    </mc:Choice>
  </mc:AlternateContent>
  <xr:revisionPtr revIDLastSave="0" documentId="13_ncr:1_{1D5D7568-5059-46E6-A326-85B9CD59E634}" xr6:coauthVersionLast="47" xr6:coauthVersionMax="47" xr10:uidLastSave="{00000000-0000-0000-0000-000000000000}"/>
  <bookViews>
    <workbookView xWindow="-120" yWindow="-120" windowWidth="20730" windowHeight="11760" xr2:uid="{30497E89-B889-44C7-8460-B4134DD4B0F4}"/>
  </bookViews>
  <sheets>
    <sheet name="Index" sheetId="7" r:id="rId1"/>
    <sheet name="V1" sheetId="6" r:id="rId2"/>
    <sheet name="V2" sheetId="8" r:id="rId3"/>
    <sheet name="V3" sheetId="2" r:id="rId4"/>
    <sheet name="Dashboard_Source" sheetId="3" state="veryHidden" r:id="rId5"/>
    <sheet name="V4" sheetId="4" r:id="rId6"/>
    <sheet name="V5" sheetId="5" r:id="rId7"/>
  </sheets>
  <definedNames>
    <definedName name="_xlnm._FilterDatabase" localSheetId="1" hidden="1">'V1'!$A$1:$L$578</definedName>
    <definedName name="_xlnm._FilterDatabase" localSheetId="2" hidden="1">'V2'!$E$5:$J$5</definedName>
    <definedName name="_xlnm._FilterDatabase" localSheetId="3" hidden="1">'V3'!$A$1:$L$578</definedName>
    <definedName name="_YouTubeDashboardBuildStatus">"OK"</definedName>
    <definedName name="sliMonth">#N/A</definedName>
    <definedName name="sliYear">#N/A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6" i="8" l="1" a="1"/>
  <c r="E6" i="8" s="1"/>
  <c r="H6" i="8" s="1"/>
  <c r="AA3" i="5"/>
  <c r="AA4" i="5"/>
  <c r="AA5" i="5"/>
  <c r="AA2" i="5"/>
  <c r="AA6" i="5"/>
  <c r="F18" i="8" l="1"/>
  <c r="G6" i="8"/>
  <c r="G13" i="8"/>
  <c r="H16" i="8"/>
  <c r="I15" i="8"/>
  <c r="I7" i="8"/>
  <c r="J14" i="8"/>
  <c r="F6" i="8"/>
  <c r="F17" i="8"/>
  <c r="F13" i="8"/>
  <c r="F9" i="8"/>
  <c r="G20" i="8"/>
  <c r="G16" i="8"/>
  <c r="G12" i="8"/>
  <c r="G8" i="8"/>
  <c r="H19" i="8"/>
  <c r="H15" i="8"/>
  <c r="H11" i="8"/>
  <c r="H7" i="8"/>
  <c r="I18" i="8"/>
  <c r="I14" i="8"/>
  <c r="I10" i="8"/>
  <c r="J6" i="8"/>
  <c r="J17" i="8"/>
  <c r="J13" i="8"/>
  <c r="J9" i="8"/>
  <c r="F14" i="8"/>
  <c r="G17" i="8"/>
  <c r="G9" i="8"/>
  <c r="H12" i="8"/>
  <c r="I19" i="8"/>
  <c r="I11" i="8"/>
  <c r="J10" i="8"/>
  <c r="F20" i="8"/>
  <c r="F16" i="8"/>
  <c r="F12" i="8"/>
  <c r="F8" i="8"/>
  <c r="G19" i="8"/>
  <c r="G15" i="8"/>
  <c r="G11" i="8"/>
  <c r="G7" i="8"/>
  <c r="H18" i="8"/>
  <c r="H14" i="8"/>
  <c r="H10" i="8"/>
  <c r="I6" i="8"/>
  <c r="I17" i="8"/>
  <c r="I13" i="8"/>
  <c r="I9" i="8"/>
  <c r="J20" i="8"/>
  <c r="J16" i="8"/>
  <c r="J12" i="8"/>
  <c r="J8" i="8"/>
  <c r="F10" i="8"/>
  <c r="H20" i="8"/>
  <c r="H8" i="8"/>
  <c r="J18" i="8"/>
  <c r="F19" i="8"/>
  <c r="F15" i="8"/>
  <c r="F11" i="8"/>
  <c r="F7" i="8"/>
  <c r="G18" i="8"/>
  <c r="G14" i="8"/>
  <c r="G10" i="8"/>
  <c r="H17" i="8"/>
  <c r="H13" i="8"/>
  <c r="H9" i="8"/>
  <c r="I20" i="8"/>
  <c r="I16" i="8"/>
  <c r="I12" i="8"/>
  <c r="I8" i="8"/>
  <c r="J19" i="8"/>
  <c r="J15" i="8"/>
  <c r="J11" i="8"/>
  <c r="J7" i="8"/>
  <c r="AB6" i="5"/>
  <c r="AB2" i="5"/>
  <c r="AB5" i="5"/>
  <c r="AB4" i="5"/>
  <c r="AB3" i="5"/>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<sst xmlns="http://schemas.openxmlformats.org/spreadsheetml/2006/main" count="10684" uniqueCount="453">
  <si>
    <t>United States</t>
  </si>
  <si>
    <t>Browse Features</t>
  </si>
  <si>
    <t>Tablet</t>
  </si>
  <si>
    <t>Female</t>
  </si>
  <si>
    <t>35-44</t>
  </si>
  <si>
    <t>Jul</t>
  </si>
  <si>
    <t>Germany</t>
  </si>
  <si>
    <t>YouTube Search</t>
  </si>
  <si>
    <t>TV</t>
  </si>
  <si>
    <t>Spain</t>
  </si>
  <si>
    <t>Suggested Videos</t>
  </si>
  <si>
    <t>Desktop</t>
  </si>
  <si>
    <t>25-34</t>
  </si>
  <si>
    <t>Male</t>
  </si>
  <si>
    <t>18-24</t>
  </si>
  <si>
    <t>Direct</t>
  </si>
  <si>
    <t>France</t>
  </si>
  <si>
    <t>External</t>
  </si>
  <si>
    <t>Mobile</t>
  </si>
  <si>
    <t>45-54</t>
  </si>
  <si>
    <t>Italy</t>
  </si>
  <si>
    <t>Channel Pages</t>
  </si>
  <si>
    <t>Jun</t>
  </si>
  <si>
    <t>May</t>
  </si>
  <si>
    <t>United Arab Emirates</t>
  </si>
  <si>
    <t>13-17</t>
  </si>
  <si>
    <t>South Africa</t>
  </si>
  <si>
    <t>Apr</t>
  </si>
  <si>
    <t>Singapore</t>
  </si>
  <si>
    <t>55+</t>
  </si>
  <si>
    <t>Mexico</t>
  </si>
  <si>
    <t>Mar</t>
  </si>
  <si>
    <t>Feb</t>
  </si>
  <si>
    <t>Brazil</t>
  </si>
  <si>
    <t>Jan</t>
  </si>
  <si>
    <t>Dec</t>
  </si>
  <si>
    <t>2025-12-31</t>
  </si>
  <si>
    <t>2025-12-30</t>
  </si>
  <si>
    <t>2025-12-29</t>
  </si>
  <si>
    <t>2025-12-28</t>
  </si>
  <si>
    <t>2025-12-27</t>
  </si>
  <si>
    <t>2025-12-26</t>
  </si>
  <si>
    <t>2025-12-25</t>
  </si>
  <si>
    <t>2025-12-24</t>
  </si>
  <si>
    <t>2025-12-23</t>
  </si>
  <si>
    <t>2025-12-22</t>
  </si>
  <si>
    <t>2025-12-21</t>
  </si>
  <si>
    <t>2025-12-20</t>
  </si>
  <si>
    <t>2025-12-19</t>
  </si>
  <si>
    <t>2025-12-18</t>
  </si>
  <si>
    <t>2025-12-17</t>
  </si>
  <si>
    <t>Japan</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</si>
  <si>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</si>
  <si>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</si>
  <si>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</si>
  <si>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</si>
  <si>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</si>
  <si>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</si>
  <si>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</si>
  <si>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</si>
  <si>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</si>
  <si>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</si>
  <si>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</si>
  <si>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</si>
  <si>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</si>
  <si>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</si>
  <si>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</si>
  <si>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</si>
  <si>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Nov</t>
  </si>
  <si>
    <t>2025-11-30</t>
  </si>
  <si>
    <t>2025-11-29</t>
  </si>
  <si>
    <t>2025-11-28</t>
  </si>
  <si>
    <t>2025-11-27</t>
  </si>
  <si>
    <t>2025-11-26</t>
  </si>
  <si>
    <t>2025-11-25</t>
  </si>
  <si>
    <t>2025-11-24</t>
  </si>
  <si>
    <t>2025-11-23</t>
  </si>
  <si>
    <t>2025-11-22</t>
  </si>
  <si>
    <t>2025-11-21</t>
  </si>
  <si>
    <t>2025-11-20</t>
  </si>
  <si>
    <t>2025-11-19</t>
  </si>
  <si>
    <t>2025-11-18</t>
  </si>
  <si>
    <t>2025-11-17</t>
  </si>
  <si>
    <t>Australia</t>
  </si>
  <si>
    <t>2025-11-16</t>
  </si>
  <si>
    <t>2025-11-15</t>
  </si>
  <si>
    <t>2025-11-14</t>
  </si>
  <si>
    <t>2025-11-13</t>
  </si>
  <si>
    <t>2025-11-12</t>
  </si>
  <si>
    <t>2025-11-11</t>
  </si>
  <si>
    <t>2025-11-10</t>
  </si>
  <si>
    <t>2025-11-09</t>
  </si>
  <si>
    <t>2025-11-08</t>
  </si>
  <si>
    <t>2025-11-07</t>
  </si>
  <si>
    <t>2025-11-06</t>
  </si>
  <si>
    <t>2025-11-05</t>
  </si>
  <si>
    <t>2025-11-04</t>
  </si>
  <si>
    <t>2025-11-03</t>
  </si>
  <si>
    <t>2025-11-02</t>
  </si>
  <si>
    <t>2025-11-01</t>
  </si>
  <si>
    <t>Oct</t>
  </si>
  <si>
    <t>2025-10-31</t>
  </si>
  <si>
    <t>2025-10-30</t>
  </si>
  <si>
    <t>2025-10-29</t>
  </si>
  <si>
    <t>2025-10-28</t>
  </si>
  <si>
    <t>2025-10-27</t>
  </si>
  <si>
    <t>2025-10-26</t>
  </si>
  <si>
    <t>2025-10-25</t>
  </si>
  <si>
    <t>2025-10-24</t>
  </si>
  <si>
    <t>2025-10-23</t>
  </si>
  <si>
    <t>2025-10-22</t>
  </si>
  <si>
    <t>2025-10-21</t>
  </si>
  <si>
    <t>2025-10-20</t>
  </si>
  <si>
    <t>2025-10-19</t>
  </si>
  <si>
    <t>2025-10-18</t>
  </si>
  <si>
    <t>2025-10-17</t>
  </si>
  <si>
    <t>2025-10-16</t>
  </si>
  <si>
    <t>2025-10-15</t>
  </si>
  <si>
    <t>2025-10-14</t>
  </si>
  <si>
    <t>2025-10-13</t>
  </si>
  <si>
    <t>United Kingdom</t>
  </si>
  <si>
    <t>2025-10-12</t>
  </si>
  <si>
    <t>2025-10-11</t>
  </si>
  <si>
    <t>2025-10-10</t>
  </si>
  <si>
    <t>2025-10-09</t>
  </si>
  <si>
    <t>2025-10-08</t>
  </si>
  <si>
    <t>2025-10-07</t>
  </si>
  <si>
    <t>2025-10-06</t>
  </si>
  <si>
    <t>2025-10-05</t>
  </si>
  <si>
    <t>2025-10-04</t>
  </si>
  <si>
    <t>2025-10-03</t>
  </si>
  <si>
    <t>2025-10-02</t>
  </si>
  <si>
    <t>2025-10-01</t>
  </si>
  <si>
    <t>Sep</t>
  </si>
  <si>
    <t>2025-09-30</t>
  </si>
  <si>
    <t>2025-09-29</t>
  </si>
  <si>
    <t>2025-09-28</t>
  </si>
  <si>
    <t>2025-09-27</t>
  </si>
  <si>
    <t>2025-09-26</t>
  </si>
  <si>
    <t>2025-09-25</t>
  </si>
  <si>
    <t>2025-09-24</t>
  </si>
  <si>
    <t>2025-09-23</t>
  </si>
  <si>
    <t>2025-09-22</t>
  </si>
  <si>
    <t>2025-09-21</t>
  </si>
  <si>
    <t>2025-09-20</t>
  </si>
  <si>
    <t>2025-09-19</t>
  </si>
  <si>
    <t>2025-09-18</t>
  </si>
  <si>
    <t>2025-09-17</t>
  </si>
  <si>
    <t>2025-09-16</t>
  </si>
  <si>
    <t>2025-09-15</t>
  </si>
  <si>
    <t>2025-09-14</t>
  </si>
  <si>
    <t>2025-09-13</t>
  </si>
  <si>
    <t>2025-09-12</t>
  </si>
  <si>
    <t>2025-09-11</t>
  </si>
  <si>
    <t>2025-09-10</t>
  </si>
  <si>
    <t>2025-09-09</t>
  </si>
  <si>
    <t>2025-09-08</t>
  </si>
  <si>
    <t>2025-09-07</t>
  </si>
  <si>
    <t>2025-09-06</t>
  </si>
  <si>
    <t>2025-09-05</t>
  </si>
  <si>
    <t>2025-09-04</t>
  </si>
  <si>
    <t>2025-09-03</t>
  </si>
  <si>
    <t>Canada</t>
  </si>
  <si>
    <t>2025-09-02</t>
  </si>
  <si>
    <t>2025-09-01</t>
  </si>
  <si>
    <t>Aug</t>
  </si>
  <si>
    <t>2025-08-31</t>
  </si>
  <si>
    <t>2025-08-30</t>
  </si>
  <si>
    <t>2025-08-29</t>
  </si>
  <si>
    <t>2025-08-28</t>
  </si>
  <si>
    <t>2025-08-27</t>
  </si>
  <si>
    <t>2025-08-26</t>
  </si>
  <si>
    <t>2025-08-25</t>
  </si>
  <si>
    <t>2025-08-24</t>
  </si>
  <si>
    <t>2025-08-23</t>
  </si>
  <si>
    <t>2025-08-22</t>
  </si>
  <si>
    <t>2025-08-21</t>
  </si>
  <si>
    <t>2025-08-20</t>
  </si>
  <si>
    <t>2025-08-19</t>
  </si>
  <si>
    <t>2025-08-18</t>
  </si>
  <si>
    <t>2025-08-17</t>
  </si>
  <si>
    <t>2025-08-16</t>
  </si>
  <si>
    <t>2025-08-15</t>
  </si>
  <si>
    <t>2025-08-14</t>
  </si>
  <si>
    <t>2025-08-13</t>
  </si>
  <si>
    <t>2025-08-12</t>
  </si>
  <si>
    <t>2025-08-11</t>
  </si>
  <si>
    <t>2025-08-10</t>
  </si>
  <si>
    <t>2025-08-09</t>
  </si>
  <si>
    <t>2025-08-08</t>
  </si>
  <si>
    <t>2025-08-07</t>
  </si>
  <si>
    <t>2025-08-06</t>
  </si>
  <si>
    <t>2025-08-05</t>
  </si>
  <si>
    <t>2025-08-04</t>
  </si>
  <si>
    <t>2025-08-03</t>
  </si>
  <si>
    <t>2025-08-02</t>
  </si>
  <si>
    <t>2025-08-01</t>
  </si>
  <si>
    <t>2025-07-31</t>
  </si>
  <si>
    <t>2025-07-30</t>
  </si>
  <si>
    <t>2025-07-29</t>
  </si>
  <si>
    <t>2025-07-28</t>
  </si>
  <si>
    <t>2025-07-27</t>
  </si>
  <si>
    <t>2025-07-26</t>
  </si>
  <si>
    <t>2025-07-25</t>
  </si>
  <si>
    <t>2025-07-24</t>
  </si>
  <si>
    <t>2025-07-23</t>
  </si>
  <si>
    <t>2025-07-22</t>
  </si>
  <si>
    <t>2025-07-21</t>
  </si>
  <si>
    <t>2025-07-20</t>
  </si>
  <si>
    <t>India</t>
  </si>
  <si>
    <t>2025-07-19</t>
  </si>
  <si>
    <t>2025-07-18</t>
  </si>
  <si>
    <t>2025-07-17</t>
  </si>
  <si>
    <t>2025-07-16</t>
  </si>
  <si>
    <t>2025-07-15</t>
  </si>
  <si>
    <t>2025-07-14</t>
  </si>
  <si>
    <t>2025-07-13</t>
  </si>
  <si>
    <t>2025-07-12</t>
  </si>
  <si>
    <t>2025-07-11</t>
  </si>
  <si>
    <t>2025-07-10</t>
  </si>
  <si>
    <t>2025-07-09</t>
  </si>
  <si>
    <t>2025-07-08</t>
  </si>
  <si>
    <t>2025-07-07</t>
  </si>
  <si>
    <t>2025-07-06</t>
  </si>
  <si>
    <t>2025-07-05</t>
  </si>
  <si>
    <t>2025-07-04</t>
  </si>
  <si>
    <t>2025-07-03</t>
  </si>
  <si>
    <t>2025-07-02</t>
  </si>
  <si>
    <t>2025-07-01</t>
  </si>
  <si>
    <t>2025-06-30</t>
  </si>
  <si>
    <t>2025-06-29</t>
  </si>
  <si>
    <t>2025-06-28</t>
  </si>
  <si>
    <t>2025-06-27</t>
  </si>
  <si>
    <t>2025-06-26</t>
  </si>
  <si>
    <t>2025-06-25</t>
  </si>
  <si>
    <t>2025-06-24</t>
  </si>
  <si>
    <t>2025-06-23</t>
  </si>
  <si>
    <t>2025-06-22</t>
  </si>
  <si>
    <t>2025-06-21</t>
  </si>
  <si>
    <t>2025-06-20</t>
  </si>
  <si>
    <t>2025-06-19</t>
  </si>
  <si>
    <t>2025-06-18</t>
  </si>
  <si>
    <t>2025-06-17</t>
  </si>
  <si>
    <t>2025-06-16</t>
  </si>
  <si>
    <t>2025-06-15</t>
  </si>
  <si>
    <t>2025-06-14</t>
  </si>
  <si>
    <t>2025-06-13</t>
  </si>
  <si>
    <t>2025-06-12</t>
  </si>
  <si>
    <t>2025-06-11</t>
  </si>
  <si>
    <t>2025-06-10</t>
  </si>
  <si>
    <t>2025-06-09</t>
  </si>
  <si>
    <t>2025-06-08</t>
  </si>
  <si>
    <t>2025-06-07</t>
  </si>
  <si>
    <t>2025-06-06</t>
  </si>
  <si>
    <t>2025-06-05</t>
  </si>
  <si>
    <t>2025-06-04</t>
  </si>
  <si>
    <t>2025-06-03</t>
  </si>
  <si>
    <t>2025-06-02</t>
  </si>
  <si>
    <t>2025-06-01</t>
  </si>
  <si>
    <t>2025-05-31</t>
  </si>
  <si>
    <t>2025-05-30</t>
  </si>
  <si>
    <t>2025-05-29</t>
  </si>
  <si>
    <t>2025-05-28</t>
  </si>
  <si>
    <t>2025-05-27</t>
  </si>
  <si>
    <t>2025-05-26</t>
  </si>
  <si>
    <t>2025-05-25</t>
  </si>
  <si>
    <t>2025-05-24</t>
  </si>
  <si>
    <t>2025-05-23</t>
  </si>
  <si>
    <t>2025-05-22</t>
  </si>
  <si>
    <t>2025-05-21</t>
  </si>
  <si>
    <t>2025-05-20</t>
  </si>
  <si>
    <t>2025-05-19</t>
  </si>
  <si>
    <t>2025-05-18</t>
  </si>
  <si>
    <t>2025-05-17</t>
  </si>
  <si>
    <t>2025-05-16</t>
  </si>
  <si>
    <t>2025-05-15</t>
  </si>
  <si>
    <t>2025-05-14</t>
  </si>
  <si>
    <t>2025-05-13</t>
  </si>
  <si>
    <t>2025-05-12</t>
  </si>
  <si>
    <t>2025-05-10</t>
  </si>
  <si>
    <t>2025-05-09</t>
  </si>
  <si>
    <t>2025-05-08</t>
  </si>
  <si>
    <t>2025-05-07</t>
  </si>
  <si>
    <t>2025-05-06</t>
  </si>
  <si>
    <t>2025-05-05</t>
  </si>
  <si>
    <t>2025-05-04</t>
  </si>
  <si>
    <t>2025-05-03</t>
  </si>
  <si>
    <t>2025-05-02</t>
  </si>
  <si>
    <t>2025-05-01</t>
  </si>
  <si>
    <t>2025-04-30</t>
  </si>
  <si>
    <t>2025-04-29</t>
  </si>
  <si>
    <t>2025-04-28</t>
  </si>
  <si>
    <t>2025-04-27</t>
  </si>
  <si>
    <t>2025-04-26</t>
  </si>
  <si>
    <t>2025-04-25</t>
  </si>
  <si>
    <t>2025-04-24</t>
  </si>
  <si>
    <t>2025-04-23</t>
  </si>
  <si>
    <t>2025-04-22</t>
  </si>
  <si>
    <t>2025-04-21</t>
  </si>
  <si>
    <t>2025-04-20</t>
  </si>
  <si>
    <t>2025-04-19</t>
  </si>
  <si>
    <t>2025-04-18</t>
  </si>
  <si>
    <t>2025-04-17</t>
  </si>
  <si>
    <t>2025-04-16</t>
  </si>
  <si>
    <t>2025-04-15</t>
  </si>
  <si>
    <t>2025-04-14</t>
  </si>
  <si>
    <t>2025-04-13</t>
  </si>
  <si>
    <t>2025-04-12</t>
  </si>
  <si>
    <t>2025-04-11</t>
  </si>
  <si>
    <t>2025-04-10</t>
  </si>
  <si>
    <t>2025-04-09</t>
  </si>
  <si>
    <t>2025-04-08</t>
  </si>
  <si>
    <t>2025-04-07</t>
  </si>
  <si>
    <t>2025-04-06</t>
  </si>
  <si>
    <t>2025-04-05</t>
  </si>
  <si>
    <t>2025-04-04</t>
  </si>
  <si>
    <t>2025-04-03</t>
  </si>
  <si>
    <t>2025-04-02</t>
  </si>
  <si>
    <t>2025-04-01</t>
  </si>
  <si>
    <t>2025-03-31</t>
  </si>
  <si>
    <t>2025-03-30</t>
  </si>
  <si>
    <t>2025-03-29</t>
  </si>
  <si>
    <t>2025-03-28</t>
  </si>
  <si>
    <t>2025-03-27</t>
  </si>
  <si>
    <t>2025-03-26</t>
  </si>
  <si>
    <t>2025-03-25</t>
  </si>
  <si>
    <t>2025-03-24</t>
  </si>
  <si>
    <t>2025-03-23</t>
  </si>
  <si>
    <t>2025-03-22</t>
  </si>
  <si>
    <t>2025-03-21</t>
  </si>
  <si>
    <t>2025-03-20</t>
  </si>
  <si>
    <t>2025-03-19</t>
  </si>
  <si>
    <t>2025-03-18</t>
  </si>
  <si>
    <t>2025-03-17</t>
  </si>
  <si>
    <t>2025-03-16</t>
  </si>
  <si>
    <t>2025-03-15</t>
  </si>
  <si>
    <t>2025-03-14</t>
  </si>
  <si>
    <t>2025-03-13</t>
  </si>
  <si>
    <t>2025-03-12</t>
  </si>
  <si>
    <t>2025-03-11</t>
  </si>
  <si>
    <t>2025-03-10</t>
  </si>
  <si>
    <t>2025-03-09</t>
  </si>
  <si>
    <t>2025-03-08</t>
  </si>
  <si>
    <t>2025-03-07</t>
  </si>
  <si>
    <t>2025-03-06</t>
  </si>
  <si>
    <t>2025-03-05</t>
  </si>
  <si>
    <t>2025-03-04</t>
  </si>
  <si>
    <t>2025-03-03</t>
  </si>
  <si>
    <t>2025-03-02</t>
  </si>
  <si>
    <t>2025-03-01</t>
  </si>
  <si>
    <t>2025-02-28</t>
  </si>
  <si>
    <t>2025-02-27</t>
  </si>
  <si>
    <t>2025-02-26</t>
  </si>
  <si>
    <t>2025-02-25</t>
  </si>
  <si>
    <t>2025-02-24</t>
  </si>
  <si>
    <t>2025-02-23</t>
  </si>
  <si>
    <t>2025-02-22</t>
  </si>
  <si>
    <t>2025-02-21</t>
  </si>
  <si>
    <t>2025-02-20</t>
  </si>
  <si>
    <t>2025-02-19</t>
  </si>
  <si>
    <t>2025-02-18</t>
  </si>
  <si>
    <t>2025-02-17</t>
  </si>
  <si>
    <t>2025-02-16</t>
  </si>
  <si>
    <t>2025-02-15</t>
  </si>
  <si>
    <t>2025-02-14</t>
  </si>
  <si>
    <t>2025-02-13</t>
  </si>
  <si>
    <t>2025-02-12</t>
  </si>
  <si>
    <t>2025-02-11</t>
  </si>
  <si>
    <t>2025-02-10</t>
  </si>
  <si>
    <t>2025-02-09</t>
  </si>
  <si>
    <t>2025-02-08</t>
  </si>
  <si>
    <t>2025-02-07</t>
  </si>
  <si>
    <t>2025-02-06</t>
  </si>
  <si>
    <t>2025-02-05</t>
  </si>
  <si>
    <t>2025-02-04</t>
  </si>
  <si>
    <t>2025-02-03</t>
  </si>
  <si>
    <t>2025-02-02</t>
  </si>
  <si>
    <t>2025-02-01</t>
  </si>
  <si>
    <t>2025-01-31</t>
  </si>
  <si>
    <t>2025-01-30</t>
  </si>
  <si>
    <t>2025-01-29</t>
  </si>
  <si>
    <t>2025-01-28</t>
  </si>
  <si>
    <t>2025-01-27</t>
  </si>
  <si>
    <t>2025-01-26</t>
  </si>
  <si>
    <t>2025-01-25</t>
  </si>
  <si>
    <t>2025-01-24</t>
  </si>
  <si>
    <t>2025-01-23</t>
  </si>
  <si>
    <t>2025-01-22</t>
  </si>
  <si>
    <t>2025-01-21</t>
  </si>
  <si>
    <t>2025-01-20</t>
  </si>
  <si>
    <t>2025-01-19</t>
  </si>
  <si>
    <t>2025-01-18</t>
  </si>
  <si>
    <t>2025-01-17</t>
  </si>
  <si>
    <t>2025-01-16</t>
  </si>
  <si>
    <t>2025-01-15</t>
  </si>
  <si>
    <t>2025-01-14</t>
  </si>
  <si>
    <t>2025-01-13</t>
  </si>
  <si>
    <t>2025-01-12</t>
  </si>
  <si>
    <t>2025-01-11</t>
  </si>
  <si>
    <t>2025-01-10</t>
  </si>
  <si>
    <t>2025-01-09</t>
  </si>
  <si>
    <t>2025-01-08</t>
  </si>
  <si>
    <t>2025-01-07</t>
  </si>
  <si>
    <t>2025-01-06</t>
  </si>
  <si>
    <t>2025-01-05</t>
  </si>
  <si>
    <t>2025-01-04</t>
  </si>
  <si>
    <t>2025-01-03</t>
  </si>
  <si>
    <t>2025-01-02</t>
  </si>
  <si>
    <t>2025-01-01</t>
  </si>
  <si>
    <t>Country</t>
  </si>
  <si>
    <t>Source</t>
  </si>
  <si>
    <t>Device</t>
  </si>
  <si>
    <t>Gender</t>
  </si>
  <si>
    <t>Age Group</t>
  </si>
  <si>
    <t>Revenue $</t>
  </si>
  <si>
    <t>Watch Time Hours</t>
  </si>
  <si>
    <t>Subscribers Gained</t>
  </si>
  <si>
    <t>Average View duration</t>
  </si>
  <si>
    <t>Views</t>
  </si>
  <si>
    <t>Month</t>
  </si>
  <si>
    <t>Date</t>
  </si>
  <si>
    <t>Year</t>
  </si>
  <si>
    <t>Total Views</t>
  </si>
  <si>
    <t>Total Subscribers</t>
  </si>
  <si>
    <t>Total Watch Time Hours</t>
  </si>
  <si>
    <t>Estimated Revenue</t>
  </si>
  <si>
    <t>Avg View Duration</t>
  </si>
  <si>
    <t>Grand Total</t>
  </si>
  <si>
    <t>Monthly Views Trend</t>
  </si>
  <si>
    <t>Traffic Source Analysis</t>
  </si>
  <si>
    <t>Device Type Performance</t>
  </si>
  <si>
    <t>Total Subscribers Gained</t>
  </si>
  <si>
    <t>Subscriber Growth Analysis</t>
  </si>
  <si>
    <t>Total Revenue</t>
  </si>
  <si>
    <t>Revenue by Country</t>
  </si>
  <si>
    <t>YOUTUBE CHANNEL ANALYTICS | OVERVIEW DASHBOARD</t>
  </si>
  <si>
    <t>KPI Store</t>
  </si>
  <si>
    <t>Pages</t>
  </si>
  <si>
    <t>Description</t>
  </si>
  <si>
    <t>V1</t>
  </si>
  <si>
    <t>V2</t>
  </si>
  <si>
    <t>V3</t>
  </si>
  <si>
    <t>V4</t>
  </si>
  <si>
    <t>V5</t>
  </si>
  <si>
    <t>I n d e x</t>
  </si>
  <si>
    <t>RawData</t>
  </si>
  <si>
    <t>Revenue</t>
  </si>
  <si>
    <t>Average View Duration</t>
  </si>
  <si>
    <t>Subscriber Gained</t>
  </si>
  <si>
    <t>Highest Revenue &amp; Engagement Analysis for specific region Analysis</t>
  </si>
  <si>
    <t>Cleaned</t>
  </si>
  <si>
    <t>Pivots Tables</t>
  </si>
  <si>
    <t>Pivots Charts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</si>
</sst>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164" formatCode="_-[$$-409]* #,##0.0_ ;_-[$$-409]* \-#,##0.0\ ;_-[$$-409]* &quot;-&quot;??_ ;_-@_ "/>
    <numFmt numFmtId="165" formatCode="yyyy\-mm\-dd"/>
    <numFmt numFmtId="166" formatCode="_-[$$-409]* #,##0_ ;_-[$$-409]* \-#,##0\ ;_-[$$-409]* &quot;-&quot;??_ ;_-@_ "/>
    <numFmt numFmtId="167" formatCode="_-&quot;£&quot;* #,##0.00_-;\-&quot;£&quot;* #,##0.00_-;_-&quot;£&quot;* &quot;-&quot;??_-;_-@_-"/>
    <numFmt numFmtId="168" formatCode="&quot;$&quot;#,##0"/>
    <numFmt numFmtId="169" formatCode="0.0"/>
    <numFmt numFmtId="170" formatCode="0.00,&quot;K&quot;"/>
    <numFmt numFmtId="171" formatCode="0.00,,&quot;M&quot;"/>
  </numFmts>
  <fonts count="12" x14ac:knownFonts="1">
    <font>
      <sz val="11"/>
      <color theme="1"/>
      <name val="Calibri"/>
      <family val="2"/>
      <scheme val="minor"/>
    </font>
    <font>
      <sz val="11"/>
      <color theme="1"/>
      <name val="Calibri"/>
      <family val="2"/>
      <scheme val="minor"/>
    </font>
    <font>
      <b/>
      <sz val="11"/>
      <color theme="1"/>
      <name val="Calibri"/>
      <family val="2"/>
      <scheme val="minor"/>
    </font>
    <font>
      <sz val="11"/>
      <color theme="1"/>
      <name val="Segoe UI"/>
      <family val="2"/>
    </font>
    <font>
      <sz val="11"/>
      <color theme="0"/>
      <name val="Segoe UI"/>
      <family val="2"/>
    </font>
    <font>
      <sz val="10"/>
      <color theme="1" tint="4.9989318521683403E-2"/>
      <name val="Segoe UI Semibold"/>
      <family val="2"/>
    </font>
    <font>
      <sz val="10"/>
      <name val="Segoe UI Semibold"/>
      <family val="2"/>
    </font>
    <font>
      <sz val="38"/>
      <color theme="0"/>
      <name val="Segoe UI Semibold"/>
      <family val="2"/>
    </font>
    <font>
      <b/>
      <sz val="11"/>
      <color theme="0"/>
      <name val="Calibri"/>
      <family val="2"/>
      <scheme val="minor"/>
    </font>
    <font>
      <sz val="11"/>
      <color theme="0"/>
      <name val="Calibri"/>
      <family val="2"/>
      <scheme val="minor"/>
    </font>
    <font>
      <u/>
      <sz val="11"/>
      <color theme="10"/>
      <name val="Calibri"/>
      <family val="2"/>
      <scheme val="minor"/>
    </font>
    <font>
      <sz val="28"/>
      <color theme="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rgb="FFC00000"/>
        <bgColor indexed="64"/>
      </patternFill>
    </fill>
    <fill>
      <patternFill patternType="solid">
        <fgColor rgb="FFFF0000"/>
        <bgColor indexed="64"/>
      </patternFill>
    </fill>
    <fill>
      <patternFill patternType="solid">
        <fgColor theme="1" tint="0.14999847407452621"/>
        <bgColor indexed="64"/>
      </patternFill>
    </fill>
    <fill>
      <patternFill patternType="solid">
        <fgColor theme="8" tint="-0.49998474074526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167" fontId="1" fillId="0" borderId="0" applyFont="0" applyFill="0" applyBorder="0" applyAlignment="0" applyProtection="0"/>
    <xf numFmtId="0" fontId="10" fillId="0" borderId="0" applyNumberFormat="0" applyFill="0" applyBorder="0" applyAlignment="0" applyProtection="0"/>
  </cellStyleXfs>
  <cellXfs count="45">
    <xf numFmtId="0" fontId="0" fillId="0" borderId="0" xfId="0"/>
    <xf numFmtId="0" fontId="0" fillId="0" borderId="0" xfId="0" applyAlignment="1">
      <alignment horizontal="center" vertical="center"/>
    </xf>
    <xf numFmtId="164" fontId="0" fillId="0" borderId="0" xfId="0" applyNumberFormat="1" applyAlignment="1">
      <alignment horizontal="center" vertical="center"/>
    </xf>
    <xf numFmtId="1" fontId="0" fillId="0" borderId="0" xfId="0" applyNumberFormat="1" applyAlignment="1">
      <alignment horizontal="center" vertical="center"/>
    </xf>
    <xf numFmtId="1" fontId="0" fillId="0" borderId="0" xfId="0" applyNumberFormat="1" applyAlignment="1">
      <alignment horizontal="center"/>
    </xf>
    <xf numFmtId="165" fontId="0" fillId="0" borderId="0" xfId="0" applyNumberFormat="1" applyAlignment="1">
      <alignment horizontal="center"/>
    </xf>
    <xf numFmtId="166" fontId="0" fillId="0" borderId="0" xfId="0" applyNumberFormat="1" applyAlignment="1">
      <alignment horizontal="center" vertical="center"/>
    </xf>
    <xf numFmtId="166" fontId="0" fillId="0" borderId="0" xfId="1" applyNumberFormat="1" applyFont="1" applyAlignment="1">
      <alignment horizontal="center" vertical="center"/>
    </xf>
    <xf numFmtId="14" fontId="0" fillId="0" borderId="0" xfId="0" applyNumberFormat="1" applyAlignment="1">
      <alignment horizontal="center" vertical="center"/>
    </xf>
    <xf numFmtId="165" fontId="0" fillId="0" borderId="0" xfId="0" applyNumberFormat="1"/>
    <xf numFmtId="168" fontId="0" fillId="0" borderId="0" xfId="0" applyNumberFormat="1"/>
    <xf numFmtId="0" fontId="3" fillId="0" borderId="0" xfId="0" applyFont="1"/>
    <xf numFmtId="0" fontId="4" fillId="2" borderId="0" xfId="0" applyFont="1" applyFill="1"/>
    <xf numFmtId="3" fontId="4" fillId="2" borderId="0" xfId="0" applyNumberFormat="1" applyFont="1" applyFill="1"/>
    <xf numFmtId="168" fontId="4" fillId="2" borderId="0" xfId="0" applyNumberFormat="1" applyFont="1" applyFill="1"/>
    <xf numFmtId="169" fontId="4" fillId="2" borderId="0" xfId="0" applyNumberFormat="1" applyFont="1" applyFill="1"/>
    <xf numFmtId="0" fontId="0" fillId="0" borderId="1" xfId="0" pivotButton="1" applyBorder="1"/>
    <xf numFmtId="0" fontId="0" fillId="0" borderId="1" xfId="0" applyBorder="1"/>
    <xf numFmtId="170" fontId="0" fillId="0" borderId="1" xfId="0" applyNumberFormat="1" applyBorder="1"/>
    <xf numFmtId="169" fontId="0" fillId="0" borderId="1" xfId="0" applyNumberFormat="1" applyBorder="1"/>
    <xf numFmtId="171" fontId="0" fillId="0" borderId="1" xfId="0" applyNumberFormat="1" applyBorder="1"/>
    <xf numFmtId="168" fontId="0" fillId="0" borderId="1" xfId="0" applyNumberFormat="1" applyBorder="1"/>
    <xf numFmtId="3" fontId="0" fillId="0" borderId="1" xfId="0" applyNumberFormat="1" applyBorder="1"/>
    <xf numFmtId="0" fontId="4" fillId="3" borderId="0" xfId="0" applyFont="1" applyFill="1"/>
    <xf numFmtId="0" fontId="0" fillId="0" borderId="0" xfId="1" applyNumberFormat="1" applyFont="1" applyAlignment="1">
      <alignment horizontal="center" vertical="center"/>
    </xf>
    <xf numFmtId="0" fontId="0" fillId="0" borderId="0" xfId="0" applyAlignment="1">
      <alignment horizontal="center" vertical="center" wrapText="1"/>
    </xf>
    <xf numFmtId="0" fontId="9" fillId="0" borderId="0" xfId="0" applyFont="1"/>
    <xf numFmtId="0" fontId="0" fillId="5" borderId="1" xfId="0" applyFill="1" applyBorder="1"/>
    <xf numFmtId="0" fontId="9" fillId="6" borderId="1" xfId="0" applyFont="1" applyFill="1" applyBorder="1"/>
    <xf numFmtId="0" fontId="2" fillId="7" borderId="0" xfId="0" applyFont="1" applyFill="1" applyAlignment="1">
      <alignment horizontal="center" vertical="center" wrapText="1"/>
    </xf>
    <xf numFmtId="0" fontId="2" fillId="7" borderId="0" xfId="0" applyFont="1" applyFill="1" applyAlignment="1">
      <alignment horizontal="center" vertical="center"/>
    </xf>
    <xf numFmtId="0" fontId="8" fillId="3" borderId="8" xfId="0" applyFont="1" applyFill="1" applyBorder="1"/>
    <xf numFmtId="0" fontId="9" fillId="3" borderId="9" xfId="0" applyFont="1" applyFill="1" applyBorder="1"/>
    <xf numFmtId="0" fontId="9" fillId="3" borderId="10" xfId="0" applyFont="1" applyFill="1" applyBorder="1"/>
    <xf numFmtId="0" fontId="9" fillId="3" borderId="9" xfId="2" applyFont="1" applyFill="1" applyBorder="1"/>
    <xf numFmtId="0" fontId="9" fillId="3" borderId="10" xfId="2" applyFont="1" applyFill="1" applyBorder="1"/>
    <xf numFmtId="0" fontId="6" fillId="2" borderId="2" xfId="0" applyFont="1" applyFill="1" applyBorder="1" applyAlignment="1">
      <alignment horizontal="center" vertical="center"/>
    </xf>
    <xf numFmtId="0" fontId="6" fillId="2" borderId="3" xfId="0" applyFont="1" applyFill="1" applyBorder="1" applyAlignment="1">
      <alignment horizontal="center" vertical="center"/>
    </xf>
    <xf numFmtId="0" fontId="6" fillId="2" borderId="1" xfId="0" applyFont="1" applyFill="1" applyBorder="1" applyAlignment="1">
      <alignment horizontal="center" vertical="center"/>
    </xf>
    <xf numFmtId="0" fontId="5" fillId="2" borderId="1" xfId="0" applyFont="1" applyFill="1" applyBorder="1" applyAlignment="1">
      <alignment horizontal="center" vertical="center"/>
    </xf>
    <xf numFmtId="0" fontId="7" fillId="3" borderId="0" xfId="0" applyFont="1" applyFill="1" applyAlignment="1">
      <alignment horizontal="center" vertical="center"/>
    </xf>
    <xf numFmtId="0" fontId="11" fillId="4" borderId="4" xfId="0" applyFont="1" applyFill="1" applyBorder="1" applyAlignment="1">
      <alignment horizontal="center" vertical="center"/>
    </xf>
    <xf numFmtId="0" fontId="11" fillId="4" borderId="5" xfId="0" applyFont="1" applyFill="1" applyBorder="1" applyAlignment="1">
      <alignment horizontal="center" vertical="center"/>
    </xf>
    <xf numFmtId="0" fontId="11" fillId="4" borderId="6" xfId="0" applyFont="1" applyFill="1" applyBorder="1" applyAlignment="1">
      <alignment horizontal="center" vertical="center"/>
    </xf>
    <xf numFmtId="0" fontId="11" fillId="4" borderId="7" xfId="0" applyFont="1" applyFill="1" applyBorder="1" applyAlignment="1">
      <alignment horizontal="center" vertical="center"/>
    </xf>
  </cellXfs>
  <cellStyles count="3">
    <cellStyle name="Currency 2" xfId="1" xr:uid="{5228D60A-FD9F-4882-83E8-67B4D5EF2752}"/>
    <cellStyle name="Hyperlink" xfId="2" builtinId="8"/>
    <cellStyle name="Normal" xfId="0" builtinId="0"/>
  </cellStyles>
  <dxfs count="75">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0,&quot;K&quot;"/>
    </dxf>
    <dxf>
      <numFmt numFmtId="170" formatCode="0.00,&quot;K&quot;"/>
    </dxf>
    <dxf>
      <numFmt numFmtId="170" formatCode="0.00,&quot;K&quot;"/>
    </dxf>
    <dxf>
      <numFmt numFmtId="171" formatCode="0.00,,&quot;M&quot;"/>
    </dxf>
    <dxf>
      <numFmt numFmtId="170" formatCode="0.00,&quot;K&quot;"/>
    </dxf>
    <dxf>
      <numFmt numFmtId="170" formatCode="0.00,&quot;K&quot;"/>
    </dxf>
    <dxf>
      <numFmt numFmtId="170" formatCode="0.00,&quot;K&quot;"/>
    </dxf>
    <dxf>
      <numFmt numFmtId="170"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0,&quot;K&quot;"/>
    </dxf>
    <dxf>
      <numFmt numFmtId="170"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0"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0,,&quot;M&quot;"/>
    </dxf>
    <dxf>
      <numFmt numFmtId="170" formatCode="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71" formatCode="0.00,,&quot;M&quot;"/>
    </dxf>
    <dxf>
      <numFmt numFmtId="170" formatCode="0.00,&quot;K&quot;"/>
    </dxf>
    <dxf>
      <numFmt numFmtId="168" formatCode="&quot;$&quot;#,##0"/>
    </dxf>
    <dxf>
      <numFmt numFmtId="165" formatCode="yyyy\-mm\-dd"/>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_-[$$-409]* #,##0.0_ ;_-[$$-409]* \-#,##0.0\ ;_-[$$-409]* &quot;-&quot;??_ ;_-@_ "/>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center" textRotation="0" wrapText="0" indent="0" justifyLastLine="0" shrinkToFit="0" readingOrder="0"/>
    </dxf>
    <dxf>
      <numFmt numFmtId="1" formatCode="0"/>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65" formatCode="yyyy\-mm\-dd"/>
      <alignment horizontal="center" vertical="bottom" textRotation="0" wrapText="0" indent="0" justifyLastLine="0" shrinkToFit="0" readingOrder="0"/>
    </dxf>
    <dxf>
      <alignment horizontal="center" vertical="center" textRotation="0" wrapText="0"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theme="8" tint="-0.499984740745262"/>
        </patternFill>
      </fill>
      <alignment horizontal="center" vertical="center" textRotation="0" wrapText="1" indent="0" justifyLastLine="0" shrinkToFit="0" readingOrder="0"/>
    </dxf>
    <dxf>
      <fill>
        <gradientFill degree="90">
          <stop position="0">
            <color theme="0"/>
          </stop>
          <stop position="1">
            <color rgb="FFFF0000"/>
          </stop>
        </gradientFill>
      </fill>
    </dxf>
    <dxf>
      <fill>
        <patternFill>
          <bgColor rgb="FFC00000"/>
        </patternFill>
      </fill>
    </dxf>
    <dxf>
      <fill>
        <patternFill>
          <bgColor rgb="FFC00000"/>
        </patternFill>
      </fill>
    </dxf>
    <dxf>
      <fill>
        <patternFill>
          <bgColor theme="1" tint="4.9989318521683403E-2"/>
        </patternFill>
      </fill>
    </dxf>
    <dxf>
      <fill>
        <patternFill>
          <bgColor rgb="FF000000"/>
        </patternFill>
      </fill>
    </dxf>
  </dxfs>
  <tableStyles count="3" defaultTableStyle="TableStyleMedium2" defaultPivotStyle="PivotStyleLight16">
    <tableStyle name="Slicer Style 1" pivot="0" table="0" count="3" xr9:uid="{1EE60102-6234-4595-8A46-783569D6EFCE}">
      <tableStyleElement type="wholeTable" dxfId="74"/>
      <tableStyleElement type="headerRow" dxfId="73"/>
    </tableStyle>
    <tableStyle name="Slicer Style 2" pivot="0" table="0" count="3" xr9:uid="{064C7A04-374D-48EB-BE56-B88FD1754DB6}">
      <tableStyleElement type="wholeTable" dxfId="72"/>
      <tableStyleElement type="headerRow" dxfId="71"/>
    </tableStyle>
    <tableStyle name="YoutubeSlicer" pivot="0" table="0" count="1" xr9:uid="{35A0D06F-1C5B-41A0-8F3B-2D13232F3322}">
      <tableStyleElement type="wholeTable" dxfId="70"/>
    </tableStyle>
  </tableStyles>
  <colors>
    <mruColors>
      <color rgb="FFFFA3A3"/>
      <color rgb="FFFF6565"/>
      <color rgb="FF680000"/>
      <color rgb="FFFF0101"/>
      <color rgb="FFFFCCCC"/>
      <color rgb="FFF15A41"/>
      <color rgb="FFFFFFFF"/>
      <color rgb="FF000000"/>
      <color rgb="FF808080"/>
    </mruColors>
  </colors>
  <extLst>
    <ext xmlns:x14="http://schemas.microsoft.com/office/spreadsheetml/2009/9/main" uri="{46F421CA-312F-682f-3DD2-61675219B42D}">
      <x14:dxfs count="2">
        <dxf>
          <fill>
            <patternFill>
              <bgColor theme="0" tint="-4.9989318521683403E-2"/>
            </patternFill>
          </fill>
        </dxf>
        <dxf>
          <fill>
            <patternFill>
              <bgColor theme="1" tint="0.34998626667073579"/>
            </patternFill>
          </fill>
        </dxf>
      </x14:dxfs>
    </ext>
    <ext xmlns:x14="http://schemas.microsoft.com/office/spreadsheetml/2009/9/main" uri="{EB79DEF2-80B8-43e5-95BD-54CBDDF9020C}">
      <x14:slicerStyles defaultSlicerStyle="SlicerStyleLight1">
        <x14:slicerStyle name="Slicer Style 1">
          <x14:slicerStyleElements>
            <x14:slicerStyleElement type="selectedItemWithData" dxfId="1"/>
          </x14:slicerStyleElements>
        </x14:slicerStyle>
        <x14:slicerStyle name="Slicer Style 2">
          <x14:slicerStyleElements>
            <x14:slicerStyleElement type="selectedItemWithData" dxfId="0"/>
          </x14:slicerStyleElements>
        </x14:slicerStyle>
        <x14:slicerStyle name="YoutubeSlicer"/>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[Youtube_Dashboard.xlsx]V4!ptTrafficSourceAnalysis</c:name>
    <c:fmtId val="0"/>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IN"/>
              <a:t>Traffic Source Analysis</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C00000"/>
          </a:solidFill>
          <a:ln>
            <a:noFill/>
          </a:ln>
          <a:effectLst/>
          <a:scene3d>
            <a:camera prst="orthographicFront"/>
            <a:lightRig rig="brightRoom" dir="t"/>
          </a:scene3d>
          <a:sp3d prstMaterial="flat">
            <a:bevelT w="50800" h="101600" prst="angle"/>
            <a:contourClr>
              <a:srgbClr val="000000"/>
            </a:contourClr>
          </a:sp3d>
        </c:spPr>
      </c:pivotFmt>
      <c:pivotFmt>
        <c:idx val="2"/>
        <c:spPr>
          <a:solidFill>
            <a:srgbClr val="FF0101"/>
          </a:solidFill>
          <a:ln>
            <a:noFill/>
          </a:ln>
          <a:effectLst/>
          <a:scene3d>
            <a:camera prst="orthographicFront"/>
            <a:lightRig rig="brightRoom" dir="t"/>
          </a:scene3d>
          <a:sp3d prstMaterial="flat">
            <a:bevelT w="50800" h="101600" prst="angle"/>
            <a:contourClr>
              <a:srgbClr val="000000"/>
            </a:contourClr>
          </a:sp3d>
        </c:spPr>
      </c:pivotFmt>
      <c:pivotFmt>
        <c:idx val="3"/>
        <c:spPr>
          <a:solidFill>
            <a:srgbClr val="FFCCCC"/>
          </a:solidFill>
          <a:ln>
            <a:noFill/>
          </a:ln>
          <a:effectLst/>
          <a:scene3d>
            <a:camera prst="orthographicFront"/>
            <a:lightRig rig="brightRoom" dir="t"/>
          </a:scene3d>
          <a:sp3d prstMaterial="flat">
            <a:bevelT w="50800" h="101600" prst="angle"/>
            <a:contourClr>
              <a:srgbClr val="000000"/>
            </a:contourClr>
          </a:sp3d>
        </c:spPr>
      </c:pivotFmt>
      <c:pivotFmt>
        <c:idx val="4"/>
        <c:spPr>
          <a:solidFill>
            <a:srgbClr val="FF0000"/>
          </a:solidFill>
          <a:ln>
            <a:noFill/>
          </a:ln>
          <a:effectLst/>
          <a:scene3d>
            <a:camera prst="orthographicFront"/>
            <a:lightRig rig="brightRoom" dir="t"/>
          </a:scene3d>
          <a:sp3d prstMaterial="flat">
            <a:bevelT w="50800" h="101600" prst="angle"/>
            <a:contourClr>
              <a:srgbClr val="000000"/>
            </a:contourClr>
          </a:sp3d>
        </c:spPr>
      </c:pivotFmt>
      <c:pivotFmt>
        <c:idx val="5"/>
        <c:spPr>
          <a:solidFill>
            <a:srgbClr val="680000"/>
          </a:solidFill>
          <a:ln>
            <a:noFill/>
          </a:ln>
          <a:effectLst/>
          <a:scene3d>
            <a:camera prst="orthographicFront"/>
            <a:lightRig rig="brightRoom" dir="t"/>
          </a:scene3d>
          <a:sp3d prstMaterial="flat">
            <a:bevelT w="50800" h="101600" prst="angle"/>
            <a:contourClr>
              <a:srgbClr val="000000"/>
            </a:contourClr>
          </a:sp3d>
        </c:spPr>
      </c:pivotFmt>
      <c:pivotFmt>
        <c:idx val="6"/>
        <c:spPr>
          <a:solidFill>
            <a:srgbClr val="680000"/>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4723870146403564"/>
          <c:y val="0.18949144811858612"/>
          <c:w val="0.42835387460717633"/>
          <c:h val="0.76732489966690309"/>
        </c:manualLayout>
      </c:layout>
      <c:doughnutChart>
        <c:varyColors val="1"/>
        <c:ser>
          <c:idx val="0"/>
          <c:order val="0"/>
          <c:tx>
            <c:strRef>
              <c:f>'V4'!$I$3</c:f>
              <c:strCache>
                <c:ptCount val="1"/>
                <c:pt idx="0">
                  <c:v>Total</c:v>
                </c:pt>
              </c:strCache>
            </c:strRef>
          </c:tx>
          <c:dPt>
            <c:idx val="0"/>
            <c:bubble3D val="0"/>
            <c:spPr>
              <a:solidFill>
                <a:srgbClr val="C0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4-95C9-41AE-BA2C-6643A08BEE3D}"/>
              </c:ext>
            </c:extLst>
          </c:dPt>
          <c:dPt>
            <c:idx val="1"/>
            <c:bubble3D val="0"/>
            <c:spPr>
              <a:solidFill>
                <a:srgbClr val="FF010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95C9-41AE-BA2C-6643A08BEE3D}"/>
              </c:ext>
            </c:extLst>
          </c:dPt>
          <c:dPt>
            <c:idx val="2"/>
            <c:bubble3D val="0"/>
            <c:spPr>
              <a:solidFill>
                <a:srgbClr val="FFCCCC"/>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6-95C9-41AE-BA2C-6643A08BEE3D}"/>
              </c:ext>
            </c:extLst>
          </c:dPt>
          <c:dPt>
            <c:idx val="3"/>
            <c:bubble3D val="0"/>
            <c:spPr>
              <a:solidFill>
                <a:srgbClr val="FF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95C9-41AE-BA2C-6643A08BEE3D}"/>
              </c:ext>
            </c:extLst>
          </c:dPt>
          <c:dPt>
            <c:idx val="4"/>
            <c:bubble3D val="0"/>
            <c:spPr>
              <a:solidFill>
                <a:srgbClr val="68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8-95C9-41AE-BA2C-6643A08BEE3D}"/>
              </c:ext>
            </c:extLst>
          </c:dPt>
          <c:dPt>
            <c:idx val="5"/>
            <c:bubble3D val="0"/>
            <c:spPr>
              <a:solidFill>
                <a:srgbClr val="680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95C9-41AE-BA2C-6643A08BEE3D}"/>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'V4'!$H$4:$H$10</c:f>
              <c:strCache>
                <c:ptCount val="6"/>
                <c:pt idx="0">
                  <c:v>Browse Features</c:v>
                </c:pt>
                <c:pt idx="1">
                  <c:v>Channel Pages</c:v>
                </c:pt>
                <c:pt idx="2">
                  <c:v>Direct</c:v>
                </c:pt>
                <c:pt idx="3">
                  <c:v>External</c:v>
                </c:pt>
                <c:pt idx="4">
                  <c:v>Suggested Videos</c:v>
                </c:pt>
                <c:pt idx="5">
                  <c:v>YouTube Search</c:v>
                </c:pt>
              </c:strCache>
            </c:strRef>
          </c:cat>
          <c:val>
            <c:numRef>
              <c:f>'V4'!$I$4:$I$10</c:f>
              <c:numCache>
                <c:formatCode>0.00,"K"</c:formatCode>
                <c:ptCount val="6"/>
                <c:pt idx="0">
                  <c:v>289264.94</c:v>
                </c:pt>
                <c:pt idx="1">
                  <c:v>135560.6</c:v>
                </c:pt>
                <c:pt idx="2">
                  <c:v>141528.29999999999</c:v>
                </c:pt>
                <c:pt idx="3">
                  <c:v>203122.1</c:v>
                </c:pt>
                <c:pt idx="4">
                  <c:v>425255.19999999995</c:v>
                </c:pt>
                <c:pt idx="5">
                  <c:v>435947.90000000008</c:v>
                </c:pt>
              </c:numCache>
            </c:numRef>
          </c:val>
          <c:extLst>
            <c:ext xmlns:c16="http://schemas.microsoft.com/office/drawing/2014/chart" uri="{C3380CC4-5D6E-409C-BE32-E72D297353CC}">
              <c16:uniqueId val="{00000003-95C9-41AE-BA2C-6643A08BEE3D}"/>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3501209420751115"/>
          <c:y val="0.21443557582668188"/>
          <c:w val="0.36108465945257795"/>
          <c:h val="0.670393521220337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[Youtube_Dashboard.xlsx]V4!ptDeviceTypePerformance</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Device Type Performance</a:t>
            </a:r>
          </a:p>
        </c:rich>
      </c:tx>
      <c:layout>
        <c:manualLayout>
          <c:xMode val="edge"/>
          <c:yMode val="edge"/>
          <c:x val="0.31599205618712994"/>
          <c:y val="0"/>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a:outerShdw blurRad="57150" dist="19050" dir="5400000" algn="ctr" rotWithShape="0">
              <a:srgbClr val="000000">
                <a:alpha val="63000"/>
              </a:srgbClr>
            </a:outerShdw>
          </a:effectLst>
        </c:spPr>
      </c:pivotFmt>
      <c:pivotFmt>
        <c:idx val="2"/>
        <c:spPr>
          <a:solidFill>
            <a:srgbClr val="C00000"/>
          </a:solidFill>
          <a:ln>
            <a:noFill/>
          </a:ln>
          <a:effectLst>
            <a:outerShdw blurRad="57150" dist="19050" dir="5400000" algn="ctr" rotWithShape="0">
              <a:srgbClr val="000000">
                <a:alpha val="63000"/>
              </a:srgbClr>
            </a:outerShdw>
          </a:effectLst>
        </c:spPr>
      </c:pivotFmt>
      <c:pivotFmt>
        <c:idx val="3"/>
        <c:spPr>
          <a:solidFill>
            <a:srgbClr val="C00000"/>
          </a:solidFill>
          <a:ln>
            <a:noFill/>
          </a:ln>
          <a:effectLst>
            <a:outerShdw blurRad="57150" dist="19050" dir="5400000" algn="ctr" rotWithShape="0">
              <a:srgbClr val="000000">
                <a:alpha val="63000"/>
              </a:srgbClr>
            </a:outerShdw>
          </a:effectLst>
        </c:spPr>
      </c:pivotFmt>
    </c:pivotFmts>
    <c:plotArea>
      <c:layout/>
      <c:barChart>
        <c:barDir val="col"/>
        <c:grouping val="clustered"/>
        <c:varyColors val="0"/>
        <c:ser>
          <c:idx val="0"/>
          <c:order val="0"/>
          <c:tx>
            <c:strRef>
              <c:f>'V4'!$L$3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Pt>
            <c:idx val="0"/>
            <c:invertIfNegative val="0"/>
            <c:bubble3D val="0"/>
            <c:extLst>
              <c:ext xmlns:c16="http://schemas.microsoft.com/office/drawing/2014/chart" uri="{C3380CC4-5D6E-409C-BE32-E72D297353CC}">
                <c16:uniqueId val="{00000004-F10C-4FEE-99B2-3AEBD96FA1B2}"/>
              </c:ext>
            </c:extLst>
          </c:dPt>
          <c:dPt>
            <c:idx val="2"/>
            <c:invertIfNegative val="0"/>
            <c:bubble3D val="0"/>
            <c:extLst>
              <c:ext xmlns:c16="http://schemas.microsoft.com/office/drawing/2014/chart" uri="{C3380CC4-5D6E-409C-BE32-E72D297353CC}">
                <c16:uniqueId val="{00000005-F10C-4FEE-99B2-3AEBD96FA1B2}"/>
              </c:ext>
            </c:extLst>
          </c:dPt>
          <c:dPt>
            <c:idx val="3"/>
            <c:invertIfNegative val="0"/>
            <c:bubble3D val="0"/>
            <c:extLst>
              <c:ext xmlns:c16="http://schemas.microsoft.com/office/drawing/2014/chart" uri="{C3380CC4-5D6E-409C-BE32-E72D297353CC}">
                <c16:uniqueId val="{00000006-F10C-4FEE-99B2-3AEBD96FA1B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'V4'!$K$4:$K$8</c:f>
              <c:strCache>
                <c:ptCount val="4"/>
                <c:pt idx="0">
                  <c:v>Desktop</c:v>
                </c:pt>
                <c:pt idx="1">
                  <c:v>Mobile</c:v>
                </c:pt>
                <c:pt idx="2">
                  <c:v>Tablet</c:v>
                </c:pt>
                <c:pt idx="3">
                  <c:v>TV</c:v>
                </c:pt>
              </c:strCache>
            </c:strRef>
          </c:cat>
          <c:val>
            <c:numRef>
              <c:f>'V4'!$L$4:$L$8</c:f>
              <c:numCache>
                <c:formatCode>0.00,"K"</c:formatCode>
                <c:ptCount val="4"/>
                <c:pt idx="0">
                  <c:v>350488.9</c:v>
                </c:pt>
                <c:pt idx="1">
                  <c:v>953468.79999999993</c:v>
                </c:pt>
                <c:pt idx="2">
                  <c:v>194435.39999999994</c:v>
                </c:pt>
                <c:pt idx="3">
                  <c:v>132285.94</c:v>
                </c:pt>
              </c:numCache>
            </c:numRef>
          </c:val>
          <c:extLst>
            <c:ext xmlns:c16="http://schemas.microsoft.com/office/drawing/2014/chart" uri="{C3380CC4-5D6E-409C-BE32-E72D297353CC}">
              <c16:uniqueId val="{00000003-F10C-4FEE-99B2-3AEBD96FA1B2}"/>
            </c:ext>
          </c:extLst>
        </c:ser>
        <c:dLbls>
          <c:showLegendKey val="0"/>
          <c:showVal val="0"/>
          <c:showCatName val="0"/>
          <c:showSerName val="0"/>
          <c:showPercent val="0"/>
          <c:showBubbleSize val="0"/>
        </c:dLbls>
        <c:gapWidth val="100"/>
        <c:overlap val="-24"/>
        <c:axId val="1434012624"/>
        <c:axId val="1019040448"/>
      </c:barChart>
      <c:catAx>
        <c:axId val="143401262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040448"/>
        <c:crosses val="autoZero"/>
        <c:auto val="1"/>
        <c:lblAlgn val="ctr"/>
        <c:lblOffset val="100"/>
        <c:noMultiLvlLbl val="0"/>
      </c:catAx>
      <c:valAx>
        <c:axId val="1019040448"/>
        <c:scaling>
          <c:orientation val="minMax"/>
        </c:scaling>
        <c:delete val="1"/>
        <c:axPos val="l"/>
        <c:numFmt formatCode="0.00,&quot;K&quot;" sourceLinked="1"/>
        <c:majorTickMark val="none"/>
        <c:minorTickMark val="none"/>
        <c:tickLblPos val="nextTo"/>
        <c:crossAx val="1434012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[Youtube_Dashboard.xlsx]V4!ptSubscriberGrowthAnalysis</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Subscriber Growth Analysis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'V4'!$O$3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'V4'!$N$4:$N$16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'V4'!$O$4:$O$16</c:f>
              <c:numCache>
                <c:formatCode>0.00,"K"</c:formatCode>
                <c:ptCount val="12"/>
                <c:pt idx="0">
                  <c:v>1531</c:v>
                </c:pt>
                <c:pt idx="1">
                  <c:v>1328</c:v>
                </c:pt>
                <c:pt idx="2">
                  <c:v>1594</c:v>
                </c:pt>
                <c:pt idx="3">
                  <c:v>1447</c:v>
                </c:pt>
                <c:pt idx="4">
                  <c:v>1629</c:v>
                </c:pt>
                <c:pt idx="5">
                  <c:v>1509</c:v>
                </c:pt>
                <c:pt idx="6">
                  <c:v>1508</c:v>
                </c:pt>
                <c:pt idx="7">
                  <c:v>851</c:v>
                </c:pt>
                <c:pt idx="8">
                  <c:v>555</c:v>
                </c:pt>
                <c:pt idx="9">
                  <c:v>783</c:v>
                </c:pt>
                <c:pt idx="10">
                  <c:v>789</c:v>
                </c:pt>
                <c:pt idx="11">
                  <c:v>860</c:v>
                </c:pt>
              </c:numCache>
            </c:numRef>
          </c:val>
          <c:extLst>
            <c:ext xmlns:c16="http://schemas.microsoft.com/office/drawing/2014/chart" uri="{C3380CC4-5D6E-409C-BE32-E72D297353CC}">
              <c16:uniqueId val="{00000003-BE6A-4F32-8590-94323B7AB962}"/>
            </c:ext>
          </c:extLst>
        </c:ser>
        <c:dLbls>
          <c:showLegendKey val="0"/>
          <c:showVal val="0"/>
          <c:showCatName val="0"/>
          <c:showSerName val="0"/>
          <c:showPercent val="0"/>
          <c:showBubbleSize val="0"/>
        </c:dLbls>
        <c:gapWidth val="100"/>
        <c:overlap val="-24"/>
        <c:axId val="1434010768"/>
        <c:axId val="1019040928"/>
      </c:barChart>
      <c:catAx>
        <c:axId val="14340107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040928"/>
        <c:crosses val="autoZero"/>
        <c:auto val="1"/>
        <c:lblAlgn val="ctr"/>
        <c:lblOffset val="100"/>
        <c:noMultiLvlLbl val="0"/>
      </c:catAx>
      <c:valAx>
        <c:axId val="1019040928"/>
        <c:scaling>
          <c:orientation val="minMax"/>
        </c:scaling>
        <c:delete val="1"/>
        <c:axPos val="l"/>
        <c:numFmt formatCode="0.00,&quot;K&quot;" sourceLinked="1"/>
        <c:majorTickMark val="none"/>
        <c:minorTickMark val="none"/>
        <c:tickLblPos val="nextTo"/>
        <c:crossAx val="1434010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[Youtube_Dashboard.xlsx]V4!ptRevenueByCountry</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Revenue by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'V4'!$R$3</c:f>
              <c:strCache>
                <c:ptCount val="1"/>
                <c:pt idx="0">
                  <c:v>Total</c:v>
                </c:pt>
              </c:strCache>
            </c:strRef>
          </c:tx>
          <c:spPr>
            <a:solidFill>
              <a:srgbClr val="C0000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'V4'!$Q$4:$Q$19</c:f>
              <c:strCache>
                <c:ptCount val="15"/>
                <c:pt idx="0">
                  <c:v>United States</c:v>
                </c:pt>
                <c:pt idx="1">
                  <c:v>India</c:v>
                </c:pt>
                <c:pt idx="2">
                  <c:v>Canada</c:v>
                </c:pt>
                <c:pt idx="3">
                  <c:v>Germany</c:v>
                </c:pt>
                <c:pt idx="4">
                  <c:v>United Kingdom</c:v>
                </c:pt>
                <c:pt idx="5">
                  <c:v>Australia</c:v>
                </c:pt>
                <c:pt idx="6">
                  <c:v>Italy</c:v>
                </c:pt>
                <c:pt idx="7">
                  <c:v>France</c:v>
                </c:pt>
                <c:pt idx="8">
                  <c:v>Japan</c:v>
                </c:pt>
                <c:pt idx="9">
                  <c:v>Brazil</c:v>
                </c:pt>
                <c:pt idx="10">
                  <c:v>Mexico</c:v>
                </c:pt>
                <c:pt idx="11">
                  <c:v>Singapore</c:v>
                </c:pt>
                <c:pt idx="12">
                  <c:v>South Africa</c:v>
                </c:pt>
                <c:pt idx="13">
                  <c:v>United Arab Emirates</c:v>
                </c:pt>
                <c:pt idx="14">
                  <c:v>Spain</c:v>
                </c:pt>
              </c:strCache>
            </c:strRef>
          </c:cat>
          <c:val>
            <c:numRef>
              <c:f>'V4'!$R$4:$R$19</c:f>
              <c:numCache>
                <c:formatCode>0.00,"K"</c:formatCode>
                <c:ptCount val="15"/>
                <c:pt idx="0">
                  <c:v>165615.26999999996</c:v>
                </c:pt>
                <c:pt idx="1">
                  <c:v>106779.27</c:v>
                </c:pt>
                <c:pt idx="2">
                  <c:v>62127.829999999994</c:v>
                </c:pt>
                <c:pt idx="3">
                  <c:v>51470.58</c:v>
                </c:pt>
                <c:pt idx="4">
                  <c:v>48082.81</c:v>
                </c:pt>
                <c:pt idx="5">
                  <c:v>41971.209999999985</c:v>
                </c:pt>
                <c:pt idx="6">
                  <c:v>41533.919999999998</c:v>
                </c:pt>
                <c:pt idx="7">
                  <c:v>40606.740000000005</c:v>
                </c:pt>
                <c:pt idx="8">
                  <c:v>36951.390000000007</c:v>
                </c:pt>
                <c:pt idx="9">
                  <c:v>29267</c:v>
                </c:pt>
                <c:pt idx="10">
                  <c:v>23501.94</c:v>
                </c:pt>
                <c:pt idx="11">
                  <c:v>18852.509999999998</c:v>
                </c:pt>
                <c:pt idx="12">
                  <c:v>18780.379999999997</c:v>
                </c:pt>
                <c:pt idx="13">
                  <c:v>16672.080000000002</c:v>
                </c:pt>
                <c:pt idx="14">
                  <c:v>12307</c:v>
                </c:pt>
              </c:numCache>
            </c:numRef>
          </c:val>
          <c:extLst>
            <c:ext xmlns:c16="http://schemas.microsoft.com/office/drawing/2014/chart" uri="{C3380CC4-5D6E-409C-BE32-E72D297353CC}">
              <c16:uniqueId val="{00000003-24F9-4E95-834B-10DDD1737B17}"/>
            </c:ext>
          </c:extLst>
        </c:ser>
        <c:dLbls>
          <c:showLegendKey val="0"/>
          <c:showVal val="0"/>
          <c:showCatName val="0"/>
          <c:showSerName val="0"/>
          <c:showPercent val="0"/>
          <c:showBubbleSize val="0"/>
        </c:dLbls>
        <c:gapWidth val="115"/>
        <c:overlap val="-20"/>
        <c:axId val="1434002880"/>
        <c:axId val="1019041408"/>
      </c:barChart>
      <c:catAx>
        <c:axId val="1434002880"/>
        <c:scaling>
          <c:orientation val="minMax"/>
        </c:scaling>
        <c:delete val="0"/>
        <c:axPos val="l"/>
        <c:numFmt formatCode="General" sourceLinked="1"/>
        <c:majorTickMark val="out"/>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19041408"/>
        <c:crosses val="autoZero"/>
        <c:auto val="1"/>
        <c:lblAlgn val="ctr"/>
        <c:lblOffset val="100"/>
        <c:noMultiLvlLbl val="0"/>
      </c:catAx>
      <c:valAx>
        <c:axId val="1019041408"/>
        <c:scaling>
          <c:orientation val="minMax"/>
        </c:scaling>
        <c:delete val="1"/>
        <c:axPos val="b"/>
        <c:numFmt formatCode="0.00,&quot;K&quot;" sourceLinked="1"/>
        <c:majorTickMark val="out"/>
        <c:minorTickMark val="none"/>
        <c:tickLblPos val="nextTo"/>
        <c:crossAx val="1434002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6350" cap="flat" cmpd="sng" algn="ctr">
      <a:noFill/>
      <a:prstDash val="solid"/>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[Youtube_Dashboard.xlsx]V4!Monthly Views Trend</c:name>
    <c:fmtId val="6"/>
  </c:pivotSource>
  <c:chart>
    <c:title>
      <c:tx>
        <c:rich>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r>
              <a:rPr lang="en-IN">
                <a:solidFill>
                  <a:sysClr val="windowText" lastClr="000000"/>
                </a:solidFill>
              </a:rPr>
              <a:t>Monthly</a:t>
            </a:r>
            <a:r>
              <a:rPr lang="en-IN" baseline="0">
                <a:solidFill>
                  <a:sysClr val="windowText" lastClr="000000"/>
                </a:solidFill>
              </a:rPr>
              <a:t> Views Trend</a:t>
            </a:r>
            <a:endParaRPr lang="en-IN">
              <a:solidFill>
                <a:sysClr val="windowText" lastClr="000000"/>
              </a:solidFill>
            </a:endParaRP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dk1">
                  <a:lumMod val="50000"/>
                  <a:lumOff val="50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5"/>
        <c:spPr>
          <a:ln w="22225" cap="rnd" cmpd="sng" algn="ctr">
            <a:solidFill>
              <a:schemeClr val="accent1"/>
            </a:solidFill>
            <a:round/>
          </a:ln>
          <a:effectLst/>
        </c:spPr>
        <c:marker>
          <c:symbol val="circle"/>
          <c:size val="4"/>
          <c:spPr>
            <a:solidFill>
              <a:schemeClr val="accent2"/>
            </a:solidFill>
            <a:ln w="9525" cap="flat" cmpd="sng" algn="ctr">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pPr>
            <a:solidFill>
              <a:schemeClr val="accent1"/>
            </a:solidFill>
            <a:ln w="9525" cap="flat" cmpd="sng" algn="ctr">
              <a:solidFill>
                <a:schemeClr val="accent1"/>
              </a:solidFill>
              <a:round/>
            </a:ln>
            <a:effectLst/>
          </c:spPr>
        </c:marker>
        <c:dLbl>
          <c:idx val="0"/>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'V4'!$U$3:$U$4</c:f>
              <c:strCache>
                <c:ptCount val="1"/>
                <c:pt idx="0">
                  <c:v>2025</c:v>
                </c:pt>
              </c:strCache>
            </c:strRef>
          </c:tx>
          <c:spPr>
            <a:ln w="22225" cap="rnd" cmpd="sng" algn="ctr">
              <a:solidFill>
                <a:schemeClr val="accent1"/>
              </a:solidFill>
              <a:round/>
            </a:ln>
            <a:effectLst/>
          </c:spPr>
          <c:marker>
            <c:symbol val="circle"/>
            <c:size val="4"/>
            <c:spPr>
              <a:solidFill>
                <a:schemeClr val="accent1"/>
              </a:solidFill>
              <a:ln w="9525" cap="flat" cmpd="sng" algn="ctr">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'V4'!$T$5:$T$16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'V4'!$U$5:$U$16</c:f>
              <c:numCache>
                <c:formatCode>0.00,"K"</c:formatCode>
                <c:ptCount val="12"/>
                <c:pt idx="0">
                  <c:v>76271</c:v>
                </c:pt>
                <c:pt idx="1">
                  <c:v>76239</c:v>
                </c:pt>
                <c:pt idx="2">
                  <c:v>67395</c:v>
                </c:pt>
                <c:pt idx="3">
                  <c:v>91399</c:v>
                </c:pt>
                <c:pt idx="4">
                  <c:v>99963</c:v>
                </c:pt>
                <c:pt idx="5">
                  <c:v>94232</c:v>
                </c:pt>
                <c:pt idx="6">
                  <c:v>85295</c:v>
                </c:pt>
                <c:pt idx="7">
                  <c:v>82157</c:v>
                </c:pt>
                <c:pt idx="8">
                  <c:v>75182</c:v>
                </c:pt>
                <c:pt idx="9">
                  <c:v>88470</c:v>
                </c:pt>
                <c:pt idx="10">
                  <c:v>78853</c:v>
                </c:pt>
                <c:pt idx="11">
                  <c:v>96685</c:v>
                </c:pt>
              </c:numCache>
            </c:numRef>
          </c:val>
          <c:smooth val="0"/>
          <c:extLst>
            <c:ext xmlns:c16="http://schemas.microsoft.com/office/drawing/2014/chart" uri="{C3380CC4-5D6E-409C-BE32-E72D297353CC}">
              <c16:uniqueId val="{00000000-A3C3-4560-B609-518CC29622EE}"/>
            </c:ext>
          </c:extLst>
        </c:ser>
        <c:ser>
          <c:idx val="1"/>
          <c:order val="1"/>
          <c:tx>
            <c:strRef>
              <c:f>'V4'!$V$3:$V$4</c:f>
              <c:strCache>
                <c:ptCount val="1"/>
                <c:pt idx="0">
                  <c:v>2026</c:v>
                </c:pt>
              </c:strCache>
            </c:strRef>
          </c:tx>
          <c:spPr>
            <a:ln w="22225" cap="rnd" cmpd="sng" algn="ctr">
              <a:solidFill>
                <a:schemeClr val="accent2"/>
              </a:solidFill>
              <a:round/>
            </a:ln>
            <a:effectLst/>
          </c:spPr>
          <c:marker>
            <c:symbol val="circle"/>
            <c:size val="4"/>
            <c:spPr>
              <a:solidFill>
                <a:schemeClr val="accent2"/>
              </a:solidFill>
              <a:ln w="9525" cap="flat" cmpd="sng" algn="ctr">
                <a:solidFill>
                  <a:schemeClr val="accent2"/>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strRef>
              <c:f>'V4'!$T$5:$T$16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'V4'!$V$5:$V$16</c:f>
              <c:numCache>
                <c:formatCode>General</c:formatCode>
                <c:ptCount val="12"/>
                <c:pt idx="0">
                  <c:v>88056</c:v>
                </c:pt>
                <c:pt idx="1">
                  <c:v>84709</c:v>
                </c:pt>
                <c:pt idx="2">
                  <c:v>100404</c:v>
                </c:pt>
                <c:pt idx="3">
                  <c:v>87162</c:v>
                </c:pt>
                <c:pt idx="4">
                  <c:v>92080</c:v>
                </c:pt>
                <c:pt idx="5">
                  <c:v>86201.64</c:v>
                </c:pt>
                <c:pt idx="6">
                  <c:v>79925.39999999998</c:v>
                </c:pt>
              </c:numCache>
            </c:numRef>
          </c:val>
          <c:smooth val="0"/>
          <c:extLst>
            <c:ext xmlns:c16="http://schemas.microsoft.com/office/drawing/2014/chart" uri="{C3380CC4-5D6E-409C-BE32-E72D297353CC}">
              <c16:uniqueId val="{00000001-B947-45B5-936A-788A0A32E49E}"/>
            </c:ext>
          </c:extLst>
        </c:ser>
        <c:dLbls>
          <c:dLblPos val="t"/>
          <c:showLegendKey val="0"/>
          <c:showVal val="1"/>
          <c:showCatName val="0"/>
          <c:showSerName val="0"/>
          <c:showPercent val="0"/>
          <c:showBubbleSize val="0"/>
        </c:dLbls>
        <c:dropLines>
          <c:spPr>
            <a:ln w="9525" cap="flat" cmpd="sng" algn="ctr">
              <a:solidFill>
                <a:schemeClr val="dk1">
                  <a:lumMod val="35000"/>
                  <a:lumOff val="65000"/>
                  <a:alpha val="33000"/>
                </a:schemeClr>
              </a:solidFill>
              <a:round/>
            </a:ln>
            <a:effectLst/>
          </c:spPr>
        </c:dropLines>
        <c:marker val="1"/>
        <c:smooth val="0"/>
        <c:axId val="1404532368"/>
        <c:axId val="1364458144"/>
      </c:lineChart>
      <c:catAx>
        <c:axId val="1404532368"/>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364458144"/>
        <c:crosses val="autoZero"/>
        <c:auto val="1"/>
        <c:lblAlgn val="ctr"/>
        <c:lblOffset val="100"/>
        <c:noMultiLvlLbl val="0"/>
      </c:catAx>
      <c:valAx>
        <c:axId val="1364458144"/>
        <c:scaling>
          <c:orientation val="minMax"/>
        </c:scaling>
        <c:delete val="1"/>
        <c:axPos val="l"/>
        <c:numFmt formatCode="0.00,&quot;K&quot;" sourceLinked="1"/>
        <c:majorTickMark val="none"/>
        <c:minorTickMark val="none"/>
        <c:tickLblPos val="nextTo"/>
        <c:crossAx val="1404532368"/>
        <c:crosses val="autoZero"/>
        <c:crossBetween val="between"/>
      </c:valAx>
      <c:spPr>
        <a:noFill/>
        <a:ln>
          <a:noFill/>
        </a:ln>
        <a:effectLst/>
      </c:spPr>
    </c:plotArea>
    <c:legend>
      <c:legendPos val="t"/>
      <c:layout>
        <c:manualLayout>
          <c:xMode val="edge"/>
          <c:yMode val="edge"/>
          <c:x val="0.73685348948584417"/>
          <c:y val="3.4059655367413302E-2"/>
          <c:w val="0.22426779714927886"/>
          <c:h val="7.9323055444415133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18</xdr:col>
      <xdr:colOff>25400</xdr:colOff>
      <xdr:row>7</xdr:row>
      <xdr:rowOff>138266</xdr:rowOff>
    </xdr:from>
    <xdr:to>
      <xdr:col>22</xdr:col>
      <xdr:colOff>701675</xdr:colOff>
      <xdr:row>29</xdr:row>
      <xdr:rowOff>98048</xdr:rowOff>
    </xdr:to>
    <xdr:sp macro="" textlink="">
      <xdr:nvSpPr>
        <xdr:cNvPr id="32" name="Rectangle: Rounded Corners 31">
          <a:extLst>
            <a:ext uri="{FF2B5EF4-FFF2-40B4-BE49-F238E27FC236}">
              <a16:creationId xmlns:a16="http://schemas.microsoft.com/office/drawing/2014/main" id="{F1C9225B-84FC-C785-3B72-F92A5C278EDA}"/>
            </a:ext>
          </a:extLst>
        </xdr:cNvPr>
        <xdr:cNvSpPr/>
      </xdr:nvSpPr>
      <xdr:spPr>
        <a:xfrm>
          <a:off x="13852013" y="2242984"/>
          <a:ext cx="3687404" cy="6104943"/>
        </a:xfrm>
        <a:prstGeom prst="roundRect">
          <a:avLst>
            <a:gd name="adj" fmla="val 8000"/>
          </a:avLst>
        </a:prstGeom>
        <a:solidFill>
          <a:schemeClr val="bg1">
            <a:alpha val="96000"/>
          </a:schemeClr>
        </a:solidFill>
        <a:ln w="12700" cap="flat" cmpd="sng" algn="ctr">
          <a:no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38100</xdr:colOff>
      <xdr:row>18</xdr:row>
      <xdr:rowOff>193675</xdr:rowOff>
    </xdr:from>
    <xdr:to>
      <xdr:col>17</xdr:col>
      <xdr:colOff>714375</xdr:colOff>
      <xdr:row>29</xdr:row>
      <xdr:rowOff>107950</xdr:rowOff>
    </xdr:to>
    <xdr:sp macro="" textlink="">
      <xdr:nvSpPr>
        <xdr:cNvPr id="30" name="Rectangle: Rounded Corners 29">
          <a:extLst>
            <a:ext uri="{FF2B5EF4-FFF2-40B4-BE49-F238E27FC236}">
              <a16:creationId xmlns:a16="http://schemas.microsoft.com/office/drawing/2014/main" id="{A31410D3-1014-66A2-7FA9-00EA99B4F52F}"/>
            </a:ext>
          </a:extLst>
        </xdr:cNvPr>
        <xdr:cNvSpPr/>
      </xdr:nvSpPr>
      <xdr:spPr>
        <a:xfrm>
          <a:off x="8601075" y="5384800"/>
          <a:ext cx="5191125" cy="2952750"/>
        </a:xfrm>
        <a:prstGeom prst="roundRect">
          <a:avLst>
            <a:gd name="adj" fmla="val 8000"/>
          </a:avLst>
        </a:prstGeom>
        <a:solidFill>
          <a:schemeClr val="bg1">
            <a:alpha val="96000"/>
          </a:schemeClr>
        </a:solidFill>
        <a:ln w="12700" cap="flat" cmpd="sng" algn="ctr">
          <a:no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xdr:colOff>
      <xdr:row>18</xdr:row>
      <xdr:rowOff>193675</xdr:rowOff>
    </xdr:from>
    <xdr:to>
      <xdr:col>10</xdr:col>
      <xdr:colOff>714375</xdr:colOff>
      <xdr:row>29</xdr:row>
      <xdr:rowOff>107950</xdr:rowOff>
    </xdr:to>
    <xdr:sp macro="" textlink="">
      <xdr:nvSpPr>
        <xdr:cNvPr id="28" name="Rectangle: Rounded Corners 27">
          <a:extLst>
            <a:ext uri="{FF2B5EF4-FFF2-40B4-BE49-F238E27FC236}">
              <a16:creationId xmlns:a16="http://schemas.microsoft.com/office/drawing/2014/main" id="{FA93EC29-0002-93A0-F0C3-3AC318050AF2}"/>
            </a:ext>
          </a:extLst>
        </xdr:cNvPr>
        <xdr:cNvSpPr/>
      </xdr:nvSpPr>
      <xdr:spPr>
        <a:xfrm>
          <a:off x="2581275" y="5384800"/>
          <a:ext cx="5943600" cy="2952750"/>
        </a:xfrm>
        <a:prstGeom prst="roundRect">
          <a:avLst>
            <a:gd name="adj" fmla="val 8000"/>
          </a:avLst>
        </a:prstGeom>
        <a:solidFill>
          <a:schemeClr val="bg1">
            <a:alpha val="96000"/>
          </a:schemeClr>
        </a:solidFill>
        <a:ln w="12700" cap="flat" cmpd="sng" algn="ctr">
          <a:no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38100</xdr:colOff>
      <xdr:row>7</xdr:row>
      <xdr:rowOff>152400</xdr:rowOff>
    </xdr:from>
    <xdr:to>
      <xdr:col>17</xdr:col>
      <xdr:colOff>714375</xdr:colOff>
      <xdr:row>18</xdr:row>
      <xdr:rowOff>19050</xdr:rowOff>
    </xdr:to>
    <xdr:sp macro="" textlink="">
      <xdr:nvSpPr>
        <xdr:cNvPr id="26" name="Rectangle: Rounded Corners 25">
          <a:extLst>
            <a:ext uri="{FF2B5EF4-FFF2-40B4-BE49-F238E27FC236}">
              <a16:creationId xmlns:a16="http://schemas.microsoft.com/office/drawing/2014/main" id="{2A69CADD-542B-694D-3468-05499D215EBD}"/>
            </a:ext>
          </a:extLst>
        </xdr:cNvPr>
        <xdr:cNvSpPr/>
      </xdr:nvSpPr>
      <xdr:spPr>
        <a:xfrm>
          <a:off x="8601075" y="2247900"/>
          <a:ext cx="5191125" cy="2962275"/>
        </a:xfrm>
        <a:prstGeom prst="roundRect">
          <a:avLst>
            <a:gd name="adj" fmla="val 8000"/>
          </a:avLst>
        </a:prstGeom>
        <a:solidFill>
          <a:schemeClr val="bg1"/>
        </a:solidFill>
        <a:ln w="12700" cap="flat" cmpd="sng" algn="ctr">
          <a:no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38100</xdr:colOff>
      <xdr:row>7</xdr:row>
      <xdr:rowOff>152400</xdr:rowOff>
    </xdr:from>
    <xdr:to>
      <xdr:col>10</xdr:col>
      <xdr:colOff>714375</xdr:colOff>
      <xdr:row>18</xdr:row>
      <xdr:rowOff>19050</xdr:rowOff>
    </xdr:to>
    <xdr:sp macro="" textlink="">
      <xdr:nvSpPr>
        <xdr:cNvPr id="24" name="Rectangle: Rounded Corners 23">
          <a:extLst>
            <a:ext uri="{FF2B5EF4-FFF2-40B4-BE49-F238E27FC236}">
              <a16:creationId xmlns:a16="http://schemas.microsoft.com/office/drawing/2014/main" id="{8EC25118-5C45-0E68-E86B-E9F43A56D7E7}"/>
            </a:ext>
          </a:extLst>
        </xdr:cNvPr>
        <xdr:cNvSpPr/>
      </xdr:nvSpPr>
      <xdr:spPr>
        <a:xfrm>
          <a:off x="2581275" y="2247900"/>
          <a:ext cx="5943600" cy="2962275"/>
        </a:xfrm>
        <a:prstGeom prst="roundRect">
          <a:avLst>
            <a:gd name="adj" fmla="val 8000"/>
          </a:avLst>
        </a:prstGeom>
        <a:solidFill>
          <a:schemeClr val="bg1">
            <a:alpha val="96000"/>
          </a:schemeClr>
        </a:solidFill>
        <a:ln w="12700" cap="flat" cmpd="sng" algn="ctr">
          <a:no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440031</xdr:colOff>
      <xdr:row>0</xdr:row>
      <xdr:rowOff>104422</xdr:rowOff>
    </xdr:from>
    <xdr:to>
      <xdr:col>2</xdr:col>
      <xdr:colOff>646407</xdr:colOff>
      <xdr:row>1</xdr:row>
      <xdr:rowOff>375339</xdr:rowOff>
    </xdr:to>
    <xdr:sp macro="" textlink="">
      <xdr:nvSpPr>
        <xdr:cNvPr id="2" name="ytLogoMark">
          <a:extLst>
            <a:ext uri="{FF2B5EF4-FFF2-40B4-BE49-F238E27FC236}">
              <a16:creationId xmlns:a16="http://schemas.microsoft.com/office/drawing/2014/main" id="{ED5CBDEB-BD1C-5530-767D-23352255A7CF}"/>
            </a:ext>
          </a:extLst>
        </xdr:cNvPr>
        <xdr:cNvSpPr/>
      </xdr:nvSpPr>
      <xdr:spPr>
        <a:xfrm>
          <a:off x="1286698" y="104422"/>
          <a:ext cx="1053042" cy="647213"/>
        </a:xfrm>
        <a:prstGeom prst="roundRect">
          <a:avLst>
            <a:gd name="adj" fmla="val 22000"/>
          </a:avLst>
        </a:prstGeom>
        <a:solidFill>
          <a:srgbClr val="FF0000"/>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xdr:col>
      <xdr:colOff>824288</xdr:colOff>
      <xdr:row>0</xdr:row>
      <xdr:rowOff>203794</xdr:rowOff>
    </xdr:from>
    <xdr:to>
      <xdr:col>2</xdr:col>
      <xdr:colOff>352155</xdr:colOff>
      <xdr:row>1</xdr:row>
      <xdr:rowOff>229594</xdr:rowOff>
    </xdr:to>
    <xdr:sp macro="" textlink="">
      <xdr:nvSpPr>
        <xdr:cNvPr id="3" name="ytLogoPlay">
          <a:extLst>
            <a:ext uri="{FF2B5EF4-FFF2-40B4-BE49-F238E27FC236}">
              <a16:creationId xmlns:a16="http://schemas.microsoft.com/office/drawing/2014/main" id="{597EDD52-D57A-AA79-D1D5-C548B85D8B29}"/>
            </a:ext>
          </a:extLst>
        </xdr:cNvPr>
        <xdr:cNvSpPr/>
      </xdr:nvSpPr>
      <xdr:spPr>
        <a:xfrm rot="5400000">
          <a:off x="1657174" y="217575"/>
          <a:ext cx="402096" cy="374533"/>
        </a:xfrm>
        <a:prstGeom prst="triangle">
          <a:avLst/>
        </a:prstGeom>
        <a:solidFill>
          <a:srgbClr val="FFFFFF"/>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11729</xdr:colOff>
      <xdr:row>3</xdr:row>
      <xdr:rowOff>141732</xdr:rowOff>
    </xdr:from>
    <xdr:to>
      <xdr:col>6</xdr:col>
      <xdr:colOff>541782</xdr:colOff>
      <xdr:row>7</xdr:row>
      <xdr:rowOff>38100</xdr:rowOff>
    </xdr:to>
    <xdr:sp macro="" textlink="">
      <xdr:nvSpPr>
        <xdr:cNvPr id="4" name="card_Total_Subscribers">
          <a:extLst>
            <a:ext uri="{FF2B5EF4-FFF2-40B4-BE49-F238E27FC236}">
              <a16:creationId xmlns:a16="http://schemas.microsoft.com/office/drawing/2014/main" id="{3C76AEA8-E968-D9E6-1D36-7D0952D60E87}"/>
            </a:ext>
          </a:extLst>
        </xdr:cNvPr>
        <xdr:cNvSpPr/>
      </xdr:nvSpPr>
      <xdr:spPr>
        <a:xfrm>
          <a:off x="2554904" y="1018032"/>
          <a:ext cx="2787478" cy="1115568"/>
        </a:xfrm>
        <a:prstGeom prst="roundRect">
          <a:avLst>
            <a:gd name="adj" fmla="val 12000"/>
          </a:avLst>
        </a:prstGeom>
        <a:gradFill flip="none" rotWithShape="1">
          <a:gsLst>
            <a:gs pos="0">
              <a:srgbClr val="E50914">
                <a:alpha val="92000"/>
              </a:srgbClr>
            </a:gs>
            <a:gs pos="100000">
              <a:srgbClr val="690008">
                <a:alpha val="92000"/>
              </a:srgbClr>
            </a:gs>
          </a:gsLst>
          <a:lin ang="5400000" scaled="1"/>
          <a:tileRect/>
        </a:gradFill>
        <a:ln w="12700" cap="flat" cmpd="sng" algn="ctr">
          <a:solidFill>
            <a:srgbClr val="FF5F5F">
              <a:alpha val="55000"/>
            </a:srgbClr>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164129</xdr:colOff>
      <xdr:row>4</xdr:row>
      <xdr:rowOff>14732</xdr:rowOff>
    </xdr:from>
    <xdr:to>
      <xdr:col>3</xdr:col>
      <xdr:colOff>595929</xdr:colOff>
      <xdr:row>5</xdr:row>
      <xdr:rowOff>141732</xdr:rowOff>
    </xdr:to>
    <xdr:sp macro="" textlink="">
      <xdr:nvSpPr>
        <xdr:cNvPr id="5" name="icon_Total_Subscribers">
          <a:extLst>
            <a:ext uri="{FF2B5EF4-FFF2-40B4-BE49-F238E27FC236}">
              <a16:creationId xmlns:a16="http://schemas.microsoft.com/office/drawing/2014/main" id="{3152D454-851A-F424-CCF7-8AC385C76621}"/>
            </a:ext>
          </a:extLst>
        </xdr:cNvPr>
        <xdr:cNvSpPr/>
      </xdr:nvSpPr>
      <xdr:spPr>
        <a:xfrm>
          <a:off x="2707304" y="1195832"/>
          <a:ext cx="431800" cy="431800"/>
        </a:xfrm>
        <a:prstGeom prst="ellipse">
          <a:avLst/>
        </a:prstGeom>
        <a:solidFill>
          <a:srgbClr val="FFFFFF">
            <a:alpha val="12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rPr>
            <a:t>SUB</a:t>
          </a:r>
        </a:p>
      </xdr:txBody>
    </xdr:sp>
    <xdr:clientData/>
  </xdr:twoCellAnchor>
  <xdr:twoCellAnchor>
    <xdr:from>
      <xdr:col>3</xdr:col>
      <xdr:colOff>545129</xdr:colOff>
      <xdr:row>3</xdr:row>
      <xdr:rowOff>243332</xdr:rowOff>
    </xdr:from>
    <xdr:to>
      <xdr:col>6</xdr:col>
      <xdr:colOff>643673</xdr:colOff>
      <xdr:row>5</xdr:row>
      <xdr:rowOff>101600</xdr:rowOff>
    </xdr:to>
    <xdr:sp macro="" textlink="">
      <xdr:nvSpPr>
        <xdr:cNvPr id="6" name="title_Total_Subscribers">
          <a:extLst>
            <a:ext uri="{FF2B5EF4-FFF2-40B4-BE49-F238E27FC236}">
              <a16:creationId xmlns:a16="http://schemas.microsoft.com/office/drawing/2014/main" id="{12213254-675E-8582-FFE6-AF8C62E6EA85}"/>
            </a:ext>
          </a:extLst>
        </xdr:cNvPr>
        <xdr:cNvSpPr txBox="1"/>
      </xdr:nvSpPr>
      <xdr:spPr>
        <a:xfrm>
          <a:off x="3088304" y="1119632"/>
          <a:ext cx="2355969" cy="46786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r>
            <a:rPr lang="en-IN" sz="1600">
              <a:solidFill>
                <a:srgbClr val="FFE1E1"/>
              </a:solidFill>
              <a:latin typeface="Segoe UI Semibold" panose="020B0702040204020203" pitchFamily="34" charset="0"/>
            </a:rPr>
            <a:t>Total Subscribers</a:t>
          </a:r>
        </a:p>
      </xdr:txBody>
    </xdr:sp>
    <xdr:clientData/>
  </xdr:twoCellAnchor>
  <xdr:twoCellAnchor>
    <xdr:from>
      <xdr:col>3</xdr:col>
      <xdr:colOff>164129</xdr:colOff>
      <xdr:row>5</xdr:row>
      <xdr:rowOff>40132</xdr:rowOff>
    </xdr:from>
    <xdr:to>
      <xdr:col>6</xdr:col>
      <xdr:colOff>389382</xdr:colOff>
      <xdr:row>6</xdr:row>
      <xdr:rowOff>215900</xdr:rowOff>
    </xdr:to>
    <xdr:sp macro="" textlink="'V5'!$AB$2">
      <xdr:nvSpPr>
        <xdr:cNvPr id="7" name="value_Total_Subscribers">
          <a:extLst>
            <a:ext uri="{FF2B5EF4-FFF2-40B4-BE49-F238E27FC236}">
              <a16:creationId xmlns:a16="http://schemas.microsoft.com/office/drawing/2014/main" id="{D458B909-F413-6815-60D9-7DD32AEED6FD}"/>
            </a:ext>
          </a:extLst>
        </xdr:cNvPr>
        <xdr:cNvSpPr txBox="1"/>
      </xdr:nvSpPr>
      <xdr:spPr>
        <a:xfrm>
          <a:off x="2707304" y="1526032"/>
          <a:ext cx="2482678" cy="48056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0E449F57-4B42-46DE-894D-0B2D8F140BBA}" type="TxLink">
            <a:rPr lang="en-US" sz="2000" b="0" i="0" u="none" strike="noStrike">
              <a:solidFill>
                <a:srgbClr val="FFFFFF"/>
              </a:solidFill>
              <a:latin typeface="Segoe UI Semibold" panose="020B0702040204020203" pitchFamily="34" charset="0"/>
              <a:cs typeface="Segoe UI"/>
            </a:rPr>
            <a:pPr algn="ctr"/>
            <a:t>14,384</a:t>
          </a:fld>
          <a:endParaRPr lang="en-IN" sz="2000" b="0">
            <a:solidFill>
              <a:srgbClr val="FFFFFF"/>
            </a:solidFill>
            <a:latin typeface="Segoe UI Semibold" panose="020B0702040204020203" pitchFamily="34" charset="0"/>
          </a:endParaRPr>
        </a:p>
      </xdr:txBody>
    </xdr:sp>
    <xdr:clientData/>
  </xdr:twoCellAnchor>
  <xdr:twoCellAnchor>
    <xdr:from>
      <xdr:col>7</xdr:col>
      <xdr:colOff>210693</xdr:colOff>
      <xdr:row>3</xdr:row>
      <xdr:rowOff>141732</xdr:rowOff>
    </xdr:from>
    <xdr:to>
      <xdr:col>10</xdr:col>
      <xdr:colOff>541782</xdr:colOff>
      <xdr:row>7</xdr:row>
      <xdr:rowOff>38100</xdr:rowOff>
    </xdr:to>
    <xdr:sp macro="" textlink="">
      <xdr:nvSpPr>
        <xdr:cNvPr id="8" name="card_Total_Video_Views">
          <a:extLst>
            <a:ext uri="{FF2B5EF4-FFF2-40B4-BE49-F238E27FC236}">
              <a16:creationId xmlns:a16="http://schemas.microsoft.com/office/drawing/2014/main" id="{8C504274-EE60-62B4-DEF2-B1342BC56F5A}"/>
            </a:ext>
          </a:extLst>
        </xdr:cNvPr>
        <xdr:cNvSpPr/>
      </xdr:nvSpPr>
      <xdr:spPr>
        <a:xfrm>
          <a:off x="5763768" y="1018032"/>
          <a:ext cx="2588514" cy="1115568"/>
        </a:xfrm>
        <a:prstGeom prst="roundRect">
          <a:avLst>
            <a:gd name="adj" fmla="val 12000"/>
          </a:avLst>
        </a:prstGeom>
        <a:gradFill flip="none" rotWithShape="1">
          <a:gsLst>
            <a:gs pos="0">
              <a:srgbClr val="FF2D2D">
                <a:alpha val="92000"/>
              </a:srgbClr>
            </a:gs>
            <a:gs pos="100000">
              <a:srgbClr val="7E0000">
                <a:alpha val="92000"/>
              </a:srgbClr>
            </a:gs>
          </a:gsLst>
          <a:lin ang="5400000" scaled="1"/>
          <a:tileRect/>
        </a:gradFill>
        <a:ln w="12700" cap="flat" cmpd="sng" algn="ctr">
          <a:solidFill>
            <a:srgbClr val="FF5F5F">
              <a:alpha val="55000"/>
            </a:srgbClr>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7</xdr:col>
      <xdr:colOff>363093</xdr:colOff>
      <xdr:row>4</xdr:row>
      <xdr:rowOff>14732</xdr:rowOff>
    </xdr:from>
    <xdr:to>
      <xdr:col>8</xdr:col>
      <xdr:colOff>42418</xdr:colOff>
      <xdr:row>5</xdr:row>
      <xdr:rowOff>141732</xdr:rowOff>
    </xdr:to>
    <xdr:sp macro="" textlink="">
      <xdr:nvSpPr>
        <xdr:cNvPr id="9" name="icon_Total_Video_Views">
          <a:extLst>
            <a:ext uri="{FF2B5EF4-FFF2-40B4-BE49-F238E27FC236}">
              <a16:creationId xmlns:a16="http://schemas.microsoft.com/office/drawing/2014/main" id="{7F916636-F5CF-572B-926B-DE074D9ABA54}"/>
            </a:ext>
          </a:extLst>
        </xdr:cNvPr>
        <xdr:cNvSpPr/>
      </xdr:nvSpPr>
      <xdr:spPr>
        <a:xfrm>
          <a:off x="5916168" y="1195832"/>
          <a:ext cx="431800" cy="431800"/>
        </a:xfrm>
        <a:prstGeom prst="ellipse">
          <a:avLst/>
        </a:prstGeom>
        <a:solidFill>
          <a:srgbClr val="FFFFFF">
            <a:alpha val="12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rPr>
            <a:t>VIEW</a:t>
          </a:r>
        </a:p>
      </xdr:txBody>
    </xdr:sp>
    <xdr:clientData/>
  </xdr:twoCellAnchor>
  <xdr:twoCellAnchor>
    <xdr:from>
      <xdr:col>7</xdr:col>
      <xdr:colOff>744093</xdr:colOff>
      <xdr:row>3</xdr:row>
      <xdr:rowOff>243332</xdr:rowOff>
    </xdr:from>
    <xdr:to>
      <xdr:col>10</xdr:col>
      <xdr:colOff>605255</xdr:colOff>
      <xdr:row>5</xdr:row>
      <xdr:rowOff>101600</xdr:rowOff>
    </xdr:to>
    <xdr:sp macro="" textlink="">
      <xdr:nvSpPr>
        <xdr:cNvPr id="10" name="title_Total_Video_Views">
          <a:extLst>
            <a:ext uri="{FF2B5EF4-FFF2-40B4-BE49-F238E27FC236}">
              <a16:creationId xmlns:a16="http://schemas.microsoft.com/office/drawing/2014/main" id="{899FF5C1-B71E-6512-06B1-18F70B025E8C}"/>
            </a:ext>
          </a:extLst>
        </xdr:cNvPr>
        <xdr:cNvSpPr txBox="1"/>
      </xdr:nvSpPr>
      <xdr:spPr>
        <a:xfrm>
          <a:off x="6297168" y="1119632"/>
          <a:ext cx="2118587" cy="46786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r>
            <a:rPr lang="en-IN" sz="1600">
              <a:solidFill>
                <a:srgbClr val="FFE1E1"/>
              </a:solidFill>
              <a:latin typeface="Segoe UI Semibold" panose="020B0702040204020203" pitchFamily="34" charset="0"/>
            </a:rPr>
            <a:t>Total Video Views</a:t>
          </a:r>
        </a:p>
      </xdr:txBody>
    </xdr:sp>
    <xdr:clientData/>
  </xdr:twoCellAnchor>
  <xdr:twoCellAnchor>
    <xdr:from>
      <xdr:col>7</xdr:col>
      <xdr:colOff>394323</xdr:colOff>
      <xdr:row>5</xdr:row>
      <xdr:rowOff>40132</xdr:rowOff>
    </xdr:from>
    <xdr:to>
      <xdr:col>10</xdr:col>
      <xdr:colOff>420612</xdr:colOff>
      <xdr:row>6</xdr:row>
      <xdr:rowOff>215900</xdr:rowOff>
    </xdr:to>
    <xdr:sp macro="" textlink="'V5'!$AB$3">
      <xdr:nvSpPr>
        <xdr:cNvPr id="11" name="value_Total_Video_Views">
          <a:extLst>
            <a:ext uri="{FF2B5EF4-FFF2-40B4-BE49-F238E27FC236}">
              <a16:creationId xmlns:a16="http://schemas.microsoft.com/office/drawing/2014/main" id="{789879E6-C938-E2A8-3D73-CFDE1B24AA39}"/>
            </a:ext>
          </a:extLst>
        </xdr:cNvPr>
        <xdr:cNvSpPr txBox="1"/>
      </xdr:nvSpPr>
      <xdr:spPr>
        <a:xfrm>
          <a:off x="5921946" y="1523534"/>
          <a:ext cx="2274814" cy="488063"/>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80303D74-BC86-4631-9E58-11A5F1EA7A55}" type="TxLink">
            <a:rPr lang="en-US" sz="2000" b="0" i="0" u="none" strike="noStrike">
              <a:solidFill>
                <a:srgbClr val="FFFFFF"/>
              </a:solidFill>
              <a:latin typeface="Segoe UI Semibold" panose="020B0702040204020203" pitchFamily="34" charset="0"/>
              <a:cs typeface="Segoe UI"/>
            </a:rPr>
            <a:pPr algn="ctr"/>
            <a:t>1,630,679</a:t>
          </a:fld>
          <a:endParaRPr lang="en-IN" sz="2000" b="0">
            <a:solidFill>
              <a:srgbClr val="FFFFFF"/>
            </a:solidFill>
            <a:latin typeface="Segoe UI Semibold" panose="020B0702040204020203" pitchFamily="34" charset="0"/>
          </a:endParaRPr>
        </a:p>
      </xdr:txBody>
    </xdr:sp>
    <xdr:clientData/>
  </xdr:twoCellAnchor>
  <xdr:twoCellAnchor>
    <xdr:from>
      <xdr:col>11</xdr:col>
      <xdr:colOff>210693</xdr:colOff>
      <xdr:row>3</xdr:row>
      <xdr:rowOff>141732</xdr:rowOff>
    </xdr:from>
    <xdr:to>
      <xdr:col>14</xdr:col>
      <xdr:colOff>541782</xdr:colOff>
      <xdr:row>7</xdr:row>
      <xdr:rowOff>38100</xdr:rowOff>
    </xdr:to>
    <xdr:sp macro="" textlink="">
      <xdr:nvSpPr>
        <xdr:cNvPr id="12" name="card_Watch_Time_Hours">
          <a:extLst>
            <a:ext uri="{FF2B5EF4-FFF2-40B4-BE49-F238E27FC236}">
              <a16:creationId xmlns:a16="http://schemas.microsoft.com/office/drawing/2014/main" id="{0711F1EA-7D03-E652-E57E-A5E1B790A2EF}"/>
            </a:ext>
          </a:extLst>
        </xdr:cNvPr>
        <xdr:cNvSpPr/>
      </xdr:nvSpPr>
      <xdr:spPr>
        <a:xfrm>
          <a:off x="8773668" y="1018032"/>
          <a:ext cx="2588514" cy="1115568"/>
        </a:xfrm>
        <a:prstGeom prst="roundRect">
          <a:avLst>
            <a:gd name="adj" fmla="val 12000"/>
          </a:avLst>
        </a:prstGeom>
        <a:gradFill flip="none" rotWithShape="1">
          <a:gsLst>
            <a:gs pos="0">
              <a:srgbClr val="CA1818">
                <a:alpha val="92000"/>
              </a:srgbClr>
            </a:gs>
            <a:gs pos="100000">
              <a:srgbClr val="481922">
                <a:alpha val="92000"/>
              </a:srgbClr>
            </a:gs>
          </a:gsLst>
          <a:lin ang="5400000" scaled="1"/>
          <a:tileRect/>
        </a:gradFill>
        <a:ln w="12700" cap="flat" cmpd="sng" algn="ctr">
          <a:solidFill>
            <a:srgbClr val="FF5F5F">
              <a:alpha val="55000"/>
            </a:srgbClr>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11</xdr:col>
      <xdr:colOff>363093</xdr:colOff>
      <xdr:row>4</xdr:row>
      <xdr:rowOff>14732</xdr:rowOff>
    </xdr:from>
    <xdr:to>
      <xdr:col>12</xdr:col>
      <xdr:colOff>42418</xdr:colOff>
      <xdr:row>5</xdr:row>
      <xdr:rowOff>141732</xdr:rowOff>
    </xdr:to>
    <xdr:sp macro="" textlink="">
      <xdr:nvSpPr>
        <xdr:cNvPr id="13" name="icon_Watch_Time_Hours">
          <a:extLst>
            <a:ext uri="{FF2B5EF4-FFF2-40B4-BE49-F238E27FC236}">
              <a16:creationId xmlns:a16="http://schemas.microsoft.com/office/drawing/2014/main" id="{4B3B8C7F-14D5-6F32-A284-C55AA3B40CCC}"/>
            </a:ext>
          </a:extLst>
        </xdr:cNvPr>
        <xdr:cNvSpPr/>
      </xdr:nvSpPr>
      <xdr:spPr>
        <a:xfrm>
          <a:off x="8926068" y="1195832"/>
          <a:ext cx="431800" cy="431800"/>
        </a:xfrm>
        <a:prstGeom prst="ellipse">
          <a:avLst/>
        </a:prstGeom>
        <a:solidFill>
          <a:srgbClr val="FFFFFF">
            <a:alpha val="12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rPr>
            <a:t>TIME</a:t>
          </a:r>
        </a:p>
      </xdr:txBody>
    </xdr:sp>
    <xdr:clientData/>
  </xdr:twoCellAnchor>
  <xdr:twoCellAnchor>
    <xdr:from>
      <xdr:col>11</xdr:col>
      <xdr:colOff>744093</xdr:colOff>
      <xdr:row>3</xdr:row>
      <xdr:rowOff>243332</xdr:rowOff>
    </xdr:from>
    <xdr:to>
      <xdr:col>14</xdr:col>
      <xdr:colOff>605255</xdr:colOff>
      <xdr:row>5</xdr:row>
      <xdr:rowOff>101600</xdr:rowOff>
    </xdr:to>
    <xdr:sp macro="" textlink="">
      <xdr:nvSpPr>
        <xdr:cNvPr id="14" name="title_Watch_Time_Hours">
          <a:extLst>
            <a:ext uri="{FF2B5EF4-FFF2-40B4-BE49-F238E27FC236}">
              <a16:creationId xmlns:a16="http://schemas.microsoft.com/office/drawing/2014/main" id="{C6660D9D-7D08-5F29-04F0-5D78326F4DF4}"/>
            </a:ext>
          </a:extLst>
        </xdr:cNvPr>
        <xdr:cNvSpPr txBox="1"/>
      </xdr:nvSpPr>
      <xdr:spPr>
        <a:xfrm>
          <a:off x="9307068" y="1119632"/>
          <a:ext cx="2118587" cy="46786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r>
            <a:rPr lang="en-IN" sz="1600">
              <a:solidFill>
                <a:srgbClr val="FFE1E1"/>
              </a:solidFill>
              <a:latin typeface="Segoe UI Semibold" panose="020B0702040204020203" pitchFamily="34" charset="0"/>
            </a:rPr>
            <a:t>Watch Time Hours</a:t>
          </a:r>
        </a:p>
      </xdr:txBody>
    </xdr:sp>
    <xdr:clientData/>
  </xdr:twoCellAnchor>
  <xdr:twoCellAnchor>
    <xdr:from>
      <xdr:col>11</xdr:col>
      <xdr:colOff>363093</xdr:colOff>
      <xdr:row>5</xdr:row>
      <xdr:rowOff>40132</xdr:rowOff>
    </xdr:from>
    <xdr:to>
      <xdr:col>14</xdr:col>
      <xdr:colOff>389382</xdr:colOff>
      <xdr:row>6</xdr:row>
      <xdr:rowOff>215900</xdr:rowOff>
    </xdr:to>
    <xdr:sp macro="" textlink="'V5'!$AB$4">
      <xdr:nvSpPr>
        <xdr:cNvPr id="15" name="value_Watch_Time_Hours">
          <a:extLst>
            <a:ext uri="{FF2B5EF4-FFF2-40B4-BE49-F238E27FC236}">
              <a16:creationId xmlns:a16="http://schemas.microsoft.com/office/drawing/2014/main" id="{FB80F1B9-BEC0-36DF-B55B-AD9002CCE6D2}"/>
            </a:ext>
          </a:extLst>
        </xdr:cNvPr>
        <xdr:cNvSpPr txBox="1"/>
      </xdr:nvSpPr>
      <xdr:spPr>
        <a:xfrm>
          <a:off x="8926068" y="1526032"/>
          <a:ext cx="2283714" cy="48056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133486C2-824D-448C-9342-0C3F6E18637D}" type="TxLink">
            <a:rPr lang="en-US" sz="2000" b="0" i="0" u="none" strike="noStrike">
              <a:solidFill>
                <a:srgbClr val="FFFFFF"/>
              </a:solidFill>
              <a:latin typeface="Segoe UI Semibold" panose="020B0702040204020203" pitchFamily="34" charset="0"/>
              <a:cs typeface="Segoe UI"/>
            </a:rPr>
            <a:pPr algn="ctr"/>
            <a:t>136,815</a:t>
          </a:fld>
          <a:endParaRPr lang="en-IN" sz="2000" b="0">
            <a:solidFill>
              <a:srgbClr val="FFFFFF"/>
            </a:solidFill>
            <a:latin typeface="Segoe UI Semibold" panose="020B0702040204020203" pitchFamily="34" charset="0"/>
          </a:endParaRPr>
        </a:p>
      </xdr:txBody>
    </xdr:sp>
    <xdr:clientData/>
  </xdr:twoCellAnchor>
  <xdr:twoCellAnchor>
    <xdr:from>
      <xdr:col>15</xdr:col>
      <xdr:colOff>210693</xdr:colOff>
      <xdr:row>3</xdr:row>
      <xdr:rowOff>141732</xdr:rowOff>
    </xdr:from>
    <xdr:to>
      <xdr:col>18</xdr:col>
      <xdr:colOff>541782</xdr:colOff>
      <xdr:row>7</xdr:row>
      <xdr:rowOff>38100</xdr:rowOff>
    </xdr:to>
    <xdr:sp macro="" textlink="">
      <xdr:nvSpPr>
        <xdr:cNvPr id="16" name="card_Estimated_Revenue">
          <a:extLst>
            <a:ext uri="{FF2B5EF4-FFF2-40B4-BE49-F238E27FC236}">
              <a16:creationId xmlns:a16="http://schemas.microsoft.com/office/drawing/2014/main" id="{AC7122AA-D665-5827-4A83-C7C8FB20E99D}"/>
            </a:ext>
          </a:extLst>
        </xdr:cNvPr>
        <xdr:cNvSpPr/>
      </xdr:nvSpPr>
      <xdr:spPr>
        <a:xfrm>
          <a:off x="11783568" y="1018032"/>
          <a:ext cx="2588514" cy="1115568"/>
        </a:xfrm>
        <a:prstGeom prst="roundRect">
          <a:avLst>
            <a:gd name="adj" fmla="val 12000"/>
          </a:avLst>
        </a:prstGeom>
        <a:gradFill flip="none" rotWithShape="1">
          <a:gsLst>
            <a:gs pos="0">
              <a:srgbClr val="FF4B2B">
                <a:alpha val="92000"/>
              </a:srgbClr>
            </a:gs>
            <a:gs pos="100000">
              <a:srgbClr val="851607">
                <a:alpha val="92000"/>
              </a:srgbClr>
            </a:gs>
          </a:gsLst>
          <a:lin ang="5400000" scaled="1"/>
          <a:tileRect/>
        </a:gradFill>
        <a:ln w="12700" cap="flat" cmpd="sng" algn="ctr">
          <a:solidFill>
            <a:srgbClr val="FF5F5F">
              <a:alpha val="55000"/>
            </a:srgbClr>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363093</xdr:colOff>
      <xdr:row>4</xdr:row>
      <xdr:rowOff>14732</xdr:rowOff>
    </xdr:from>
    <xdr:to>
      <xdr:col>16</xdr:col>
      <xdr:colOff>42418</xdr:colOff>
      <xdr:row>5</xdr:row>
      <xdr:rowOff>141732</xdr:rowOff>
    </xdr:to>
    <xdr:sp macro="" textlink="">
      <xdr:nvSpPr>
        <xdr:cNvPr id="17" name="icon_Estimated_Revenue">
          <a:extLst>
            <a:ext uri="{FF2B5EF4-FFF2-40B4-BE49-F238E27FC236}">
              <a16:creationId xmlns:a16="http://schemas.microsoft.com/office/drawing/2014/main" id="{032EB222-14A5-9234-A098-26AE6F4856A0}"/>
            </a:ext>
          </a:extLst>
        </xdr:cNvPr>
        <xdr:cNvSpPr/>
      </xdr:nvSpPr>
      <xdr:spPr>
        <a:xfrm>
          <a:off x="11935968" y="1195832"/>
          <a:ext cx="431800" cy="431800"/>
        </a:xfrm>
        <a:prstGeom prst="ellipse">
          <a:avLst/>
        </a:prstGeom>
        <a:solidFill>
          <a:srgbClr val="FFFFFF">
            <a:alpha val="12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rPr>
            <a:t>$</a:t>
          </a:r>
        </a:p>
      </xdr:txBody>
    </xdr:sp>
    <xdr:clientData/>
  </xdr:twoCellAnchor>
  <xdr:twoCellAnchor>
    <xdr:from>
      <xdr:col>15</xdr:col>
      <xdr:colOff>744093</xdr:colOff>
      <xdr:row>3</xdr:row>
      <xdr:rowOff>243332</xdr:rowOff>
    </xdr:from>
    <xdr:to>
      <xdr:col>18</xdr:col>
      <xdr:colOff>605255</xdr:colOff>
      <xdr:row>5</xdr:row>
      <xdr:rowOff>101600</xdr:rowOff>
    </xdr:to>
    <xdr:sp macro="" textlink="">
      <xdr:nvSpPr>
        <xdr:cNvPr id="18" name="title_Estimated_Revenue">
          <a:extLst>
            <a:ext uri="{FF2B5EF4-FFF2-40B4-BE49-F238E27FC236}">
              <a16:creationId xmlns:a16="http://schemas.microsoft.com/office/drawing/2014/main" id="{B96B22C7-A44D-2DC3-F3A2-9543E74BE26F}"/>
            </a:ext>
          </a:extLst>
        </xdr:cNvPr>
        <xdr:cNvSpPr txBox="1"/>
      </xdr:nvSpPr>
      <xdr:spPr>
        <a:xfrm>
          <a:off x="12316968" y="1119632"/>
          <a:ext cx="2118587" cy="46786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r>
            <a:rPr lang="en-IN" sz="1600">
              <a:solidFill>
                <a:srgbClr val="FFE1E1"/>
              </a:solidFill>
              <a:latin typeface="Segoe UI Semibold" panose="020B0702040204020203" pitchFamily="34" charset="0"/>
            </a:rPr>
            <a:t>Estimated Revenue</a:t>
          </a:r>
        </a:p>
      </xdr:txBody>
    </xdr:sp>
    <xdr:clientData/>
  </xdr:twoCellAnchor>
  <xdr:twoCellAnchor>
    <xdr:from>
      <xdr:col>15</xdr:col>
      <xdr:colOff>363093</xdr:colOff>
      <xdr:row>5</xdr:row>
      <xdr:rowOff>40132</xdr:rowOff>
    </xdr:from>
    <xdr:to>
      <xdr:col>18</xdr:col>
      <xdr:colOff>389382</xdr:colOff>
      <xdr:row>6</xdr:row>
      <xdr:rowOff>215900</xdr:rowOff>
    </xdr:to>
    <xdr:sp macro="" textlink="'V5'!$AB$5">
      <xdr:nvSpPr>
        <xdr:cNvPr id="19" name="value_Estimated_Revenue">
          <a:extLst>
            <a:ext uri="{FF2B5EF4-FFF2-40B4-BE49-F238E27FC236}">
              <a16:creationId xmlns:a16="http://schemas.microsoft.com/office/drawing/2014/main" id="{24884A8F-D83A-A9F0-3D4D-D67E95DDBF44}"/>
            </a:ext>
          </a:extLst>
        </xdr:cNvPr>
        <xdr:cNvSpPr txBox="1"/>
      </xdr:nvSpPr>
      <xdr:spPr>
        <a:xfrm>
          <a:off x="11935968" y="1526032"/>
          <a:ext cx="2283714" cy="48056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169B366F-B416-441E-A1C9-F8B218F6372B}" type="TxLink">
            <a:rPr lang="en-US" sz="2000" b="0" i="0" u="none" strike="noStrike">
              <a:solidFill>
                <a:srgbClr val="FFFFFF"/>
              </a:solidFill>
              <a:latin typeface="Segoe UI Semibold" panose="020B0702040204020203" pitchFamily="34" charset="0"/>
              <a:cs typeface="Segoe UI"/>
            </a:rPr>
            <a:pPr algn="ctr"/>
            <a:t>$714,520</a:t>
          </a:fld>
          <a:endParaRPr lang="en-IN" sz="2000" b="0">
            <a:solidFill>
              <a:srgbClr val="FFFFFF"/>
            </a:solidFill>
            <a:latin typeface="Segoe UI Semibold" panose="020B0702040204020203" pitchFamily="34" charset="0"/>
          </a:endParaRPr>
        </a:p>
      </xdr:txBody>
    </xdr:sp>
    <xdr:clientData/>
  </xdr:twoCellAnchor>
  <xdr:twoCellAnchor>
    <xdr:from>
      <xdr:col>19</xdr:col>
      <xdr:colOff>210693</xdr:colOff>
      <xdr:row>3</xdr:row>
      <xdr:rowOff>141732</xdr:rowOff>
    </xdr:from>
    <xdr:to>
      <xdr:col>22</xdr:col>
      <xdr:colOff>713618</xdr:colOff>
      <xdr:row>7</xdr:row>
      <xdr:rowOff>38100</xdr:rowOff>
    </xdr:to>
    <xdr:sp macro="" textlink="">
      <xdr:nvSpPr>
        <xdr:cNvPr id="20" name="card_Average_View_Duration">
          <a:extLst>
            <a:ext uri="{FF2B5EF4-FFF2-40B4-BE49-F238E27FC236}">
              <a16:creationId xmlns:a16="http://schemas.microsoft.com/office/drawing/2014/main" id="{63C127DC-A215-CF45-9921-2BADC89A44CA}"/>
            </a:ext>
          </a:extLst>
        </xdr:cNvPr>
        <xdr:cNvSpPr/>
      </xdr:nvSpPr>
      <xdr:spPr>
        <a:xfrm>
          <a:off x="14793468" y="1018032"/>
          <a:ext cx="2760350" cy="1115568"/>
        </a:xfrm>
        <a:prstGeom prst="roundRect">
          <a:avLst>
            <a:gd name="adj" fmla="val 12000"/>
          </a:avLst>
        </a:prstGeom>
        <a:gradFill flip="none" rotWithShape="1">
          <a:gsLst>
            <a:gs pos="0">
              <a:srgbClr val="EC0000">
                <a:alpha val="92000"/>
              </a:srgbClr>
            </a:gs>
            <a:gs pos="100000">
              <a:srgbClr val="520018">
                <a:alpha val="92000"/>
              </a:srgbClr>
            </a:gs>
          </a:gsLst>
          <a:lin ang="5400000" scaled="1"/>
          <a:tileRect/>
        </a:gradFill>
        <a:ln w="12700" cap="flat" cmpd="sng" algn="ctr">
          <a:solidFill>
            <a:srgbClr val="FF5F5F">
              <a:alpha val="55000"/>
            </a:srgbClr>
          </a:solidFill>
          <a:prstDash val="solid"/>
          <a:miter lim="800000"/>
          <a:headEnd type="none" w="med" len="med"/>
          <a:tailEnd type="none" w="med" len="med"/>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19</xdr:col>
      <xdr:colOff>363093</xdr:colOff>
      <xdr:row>4</xdr:row>
      <xdr:rowOff>14732</xdr:rowOff>
    </xdr:from>
    <xdr:to>
      <xdr:col>20</xdr:col>
      <xdr:colOff>42418</xdr:colOff>
      <xdr:row>5</xdr:row>
      <xdr:rowOff>141732</xdr:rowOff>
    </xdr:to>
    <xdr:sp macro="" textlink="">
      <xdr:nvSpPr>
        <xdr:cNvPr id="21" name="icon_Average_View_Duration">
          <a:extLst>
            <a:ext uri="{FF2B5EF4-FFF2-40B4-BE49-F238E27FC236}">
              <a16:creationId xmlns:a16="http://schemas.microsoft.com/office/drawing/2014/main" id="{22FDB69F-DFFF-E611-062C-864885441525}"/>
            </a:ext>
          </a:extLst>
        </xdr:cNvPr>
        <xdr:cNvSpPr/>
      </xdr:nvSpPr>
      <xdr:spPr>
        <a:xfrm>
          <a:off x="14945868" y="1195832"/>
          <a:ext cx="431800" cy="431800"/>
        </a:xfrm>
        <a:prstGeom prst="ellipse">
          <a:avLst/>
        </a:prstGeom>
        <a:solidFill>
          <a:srgbClr val="FFFFFF">
            <a:alpha val="12000"/>
          </a:srgbClr>
        </a:solidFill>
        <a:ln w="12700" cap="flat" cmpd="sng" algn="ctr">
          <a:noFill/>
          <a:prstDash val="solid"/>
          <a:miter lim="800000"/>
        </a:ln>
        <a:effectLst/>
        <a:extLst>
          <a:ext uri="{91240B29-F687-4F45-9708-019B960494DF}">
            <a14:hiddenLine xmlns:a14="http://schemas.microsoft.com/office/drawing/2010/main" w="12700" cap="flat" cmpd="sng" algn="ctr">
              <a:solidFill>
                <a:schemeClr val="accent1">
                  <a:shade val="15000"/>
                </a:schemeClr>
              </a:solidFill>
              <a:prstDash val="solid"/>
              <a:miter lim="800000"/>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800" b="1">
              <a:solidFill>
                <a:srgbClr val="FFFFFF"/>
              </a:solidFill>
            </a:rPr>
            <a:t>AVG</a:t>
          </a:r>
        </a:p>
      </xdr:txBody>
    </xdr:sp>
    <xdr:clientData/>
  </xdr:twoCellAnchor>
  <xdr:twoCellAnchor>
    <xdr:from>
      <xdr:col>19</xdr:col>
      <xdr:colOff>744093</xdr:colOff>
      <xdr:row>3</xdr:row>
      <xdr:rowOff>243332</xdr:rowOff>
    </xdr:from>
    <xdr:to>
      <xdr:col>23</xdr:col>
      <xdr:colOff>57796</xdr:colOff>
      <xdr:row>5</xdr:row>
      <xdr:rowOff>101600</xdr:rowOff>
    </xdr:to>
    <xdr:sp macro="" textlink="">
      <xdr:nvSpPr>
        <xdr:cNvPr id="22" name="title_Average_View_Duration">
          <a:extLst>
            <a:ext uri="{FF2B5EF4-FFF2-40B4-BE49-F238E27FC236}">
              <a16:creationId xmlns:a16="http://schemas.microsoft.com/office/drawing/2014/main" id="{57910CA4-BC98-3590-BD5D-C713F3C6ED8D}"/>
            </a:ext>
          </a:extLst>
        </xdr:cNvPr>
        <xdr:cNvSpPr txBox="1"/>
      </xdr:nvSpPr>
      <xdr:spPr>
        <a:xfrm>
          <a:off x="15326868" y="1119632"/>
          <a:ext cx="2323603" cy="46786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lstStyle/>
        <a:p>
          <a:r>
            <a:rPr lang="en-IN" sz="1600">
              <a:solidFill>
                <a:srgbClr val="FFE1E1"/>
              </a:solidFill>
              <a:latin typeface="Segoe UI Semibold" panose="020B0702040204020203" pitchFamily="34" charset="0"/>
            </a:rPr>
            <a:t>Average View Duration</a:t>
          </a:r>
        </a:p>
      </xdr:txBody>
    </xdr:sp>
    <xdr:clientData/>
  </xdr:twoCellAnchor>
  <xdr:twoCellAnchor>
    <xdr:from>
      <xdr:col>19</xdr:col>
      <xdr:colOff>363093</xdr:colOff>
      <xdr:row>5</xdr:row>
      <xdr:rowOff>40132</xdr:rowOff>
    </xdr:from>
    <xdr:to>
      <xdr:col>22</xdr:col>
      <xdr:colOff>561218</xdr:colOff>
      <xdr:row>6</xdr:row>
      <xdr:rowOff>215900</xdr:rowOff>
    </xdr:to>
    <xdr:sp macro="" textlink="'V5'!$AB$6">
      <xdr:nvSpPr>
        <xdr:cNvPr id="23" name="value_Average_View_Duration">
          <a:extLst>
            <a:ext uri="{FF2B5EF4-FFF2-40B4-BE49-F238E27FC236}">
              <a16:creationId xmlns:a16="http://schemas.microsoft.com/office/drawing/2014/main" id="{E26A7E20-422C-7778-BC2F-2FA6136FE873}"/>
            </a:ext>
          </a:extLst>
        </xdr:cNvPr>
        <xdr:cNvSpPr txBox="1"/>
      </xdr:nvSpPr>
      <xdr:spPr>
        <a:xfrm>
          <a:off x="14945868" y="1526032"/>
          <a:ext cx="2455550" cy="480568"/>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92B553C1-4B3A-4F42-B1AF-070222C1B130}" type="TxLink">
            <a:rPr lang="en-US" sz="2000" b="0" i="0" u="none" strike="noStrike">
              <a:solidFill>
                <a:srgbClr val="FFFFFF"/>
              </a:solidFill>
              <a:latin typeface="Segoe UI Semibold" panose="020B0702040204020203" pitchFamily="34" charset="0"/>
              <a:cs typeface="Segoe UI"/>
            </a:rPr>
            <a:pPr algn="ctr"/>
            <a:t>23.9</a:t>
          </a:fld>
          <a:endParaRPr lang="en-IN" sz="2000" b="0">
            <a:solidFill>
              <a:srgbClr val="FFFFFF"/>
            </a:solidFill>
            <a:latin typeface="Segoe UI Semibold" panose="020B0702040204020203" pitchFamily="34" charset="0"/>
          </a:endParaRPr>
        </a:p>
      </xdr:txBody>
    </xdr:sp>
    <xdr:clientData/>
  </xdr:twoCellAnchor>
  <xdr:twoCellAnchor>
    <xdr:from>
      <xdr:col>11</xdr:col>
      <xdr:colOff>139700</xdr:colOff>
      <xdr:row>7</xdr:row>
      <xdr:rowOff>228600</xdr:rowOff>
    </xdr:from>
    <xdr:to>
      <xdr:col>17</xdr:col>
      <xdr:colOff>612775</xdr:colOff>
      <xdr:row>17</xdr:row>
      <xdr:rowOff>193675</xdr:rowOff>
    </xdr:to>
    <xdr:graphicFrame macro="">
      <xdr:nvGraphicFramePr>
        <xdr:cNvPr id="27" name="Chart 26">
          <a:extLst>
            <a:ext uri="{FF2B5EF4-FFF2-40B4-BE49-F238E27FC236}">
              <a16:creationId xmlns:a16="http://schemas.microsoft.com/office/drawing/2014/main" id="{D9988E87-FCED-6760-2DF8-0A7609AA6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139700</xdr:colOff>
      <xdr:row>18</xdr:row>
      <xdr:rowOff>269875</xdr:rowOff>
    </xdr:from>
    <xdr:to>
      <xdr:col>10</xdr:col>
      <xdr:colOff>612775</xdr:colOff>
      <xdr:row>29</xdr:row>
      <xdr:rowOff>6350</xdr:rowOff>
    </xdr:to>
    <xdr:graphicFrame macro="">
      <xdr:nvGraphicFramePr>
        <xdr:cNvPr id="29" name="Chart 28">
          <a:extLst>
            <a:ext uri="{FF2B5EF4-FFF2-40B4-BE49-F238E27FC236}">
              <a16:creationId xmlns:a16="http://schemas.microsoft.com/office/drawing/2014/main" id="{0BC92FBD-5ED0-9796-955B-D99BD5C76A3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139700</xdr:colOff>
      <xdr:row>18</xdr:row>
      <xdr:rowOff>269875</xdr:rowOff>
    </xdr:from>
    <xdr:to>
      <xdr:col>17</xdr:col>
      <xdr:colOff>612775</xdr:colOff>
      <xdr:row>29</xdr:row>
      <xdr:rowOff>6350</xdr:rowOff>
    </xdr:to>
    <xdr:graphicFrame macro="">
      <xdr:nvGraphicFramePr>
        <xdr:cNvPr id="31" name="Chart 30">
          <a:extLst>
            <a:ext uri="{FF2B5EF4-FFF2-40B4-BE49-F238E27FC236}">
              <a16:creationId xmlns:a16="http://schemas.microsoft.com/office/drawing/2014/main" id="{1D55FFFC-3F56-2D1C-5A12-DAEACE92371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87923</xdr:colOff>
      <xdr:row>7</xdr:row>
      <xdr:rowOff>292100</xdr:rowOff>
    </xdr:from>
    <xdr:to>
      <xdr:col>22</xdr:col>
      <xdr:colOff>645242</xdr:colOff>
      <xdr:row>29</xdr:row>
      <xdr:rowOff>34022</xdr:rowOff>
    </xdr:to>
    <xdr:graphicFrame macro="">
      <xdr:nvGraphicFramePr>
        <xdr:cNvPr id="33" name="Chart 32">
          <a:extLst>
            <a:ext uri="{FF2B5EF4-FFF2-40B4-BE49-F238E27FC236}">
              <a16:creationId xmlns:a16="http://schemas.microsoft.com/office/drawing/2014/main" id="{A3BFA1ED-71C2-0E54-7C95-3829BE02BC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376312</xdr:colOff>
      <xdr:row>3</xdr:row>
      <xdr:rowOff>199226</xdr:rowOff>
    </xdr:from>
    <xdr:to>
      <xdr:col>2</xdr:col>
      <xdr:colOff>585862</xdr:colOff>
      <xdr:row>7</xdr:row>
      <xdr:rowOff>205903</xdr:rowOff>
    </xdr:to>
    <mc:AlternateContent xmlns:mc="http://schemas.openxmlformats.org/markup-compatibility/2006" xmlns:a14="http://schemas.microsoft.com/office/drawing/2010/main">
      <mc:Choice Requires="a14">
        <xdr:graphicFrame macro="">
          <xdr:nvGraphicFramePr>
            <xdr:cNvPr id="34" name="sliYear_Obj">
              <a:extLst>
                <a:ext uri="{FF2B5EF4-FFF2-40B4-BE49-F238E27FC236}">
                  <a16:creationId xmlns:a16="http://schemas.microsoft.com/office/drawing/2014/main" id="{E2CF43FB-4EFF-0741-0C45-67470604E1D0}"/>
                </a:ext>
              </a:extLst>
            </xdr:cNvPr>
            <xdr:cNvGraphicFramePr/>
          </xdr:nvGraphicFramePr>
          <xdr:xfrm>
            <a:off x="0" y="0"/>
            <a:ext cx="0" cy="0"/>
          </xdr:xfrm>
          <a:graphic>
            <a:graphicData uri="http://schemas.microsoft.com/office/drawing/2010/slicer">
              <sle:slicer xmlns:sle="http://schemas.microsoft.com/office/drawing/2010/slicer" name="sliYear_Obj"/>
            </a:graphicData>
          </a:graphic>
        </xdr:graphicFrame>
      </mc:Choice>
      <mc:Fallback xmlns="">
        <xdr:sp macro="" textlink="">
          <xdr:nvSpPr>
            <xdr:cNvPr id="0" name=""/>
            <xdr:cNvSpPr>
              <a:spLocks noTextEdit="1"/>
            </xdr:cNvSpPr>
          </xdr:nvSpPr>
          <xdr:spPr>
            <a:xfrm>
              <a:off x="376312" y="1102880"/>
              <a:ext cx="1919165" cy="117898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376141</xdr:colOff>
      <xdr:row>9</xdr:row>
      <xdr:rowOff>243340</xdr:rowOff>
    </xdr:from>
    <xdr:to>
      <xdr:col>2</xdr:col>
      <xdr:colOff>585691</xdr:colOff>
      <xdr:row>29</xdr:row>
      <xdr:rowOff>53914</xdr:rowOff>
    </xdr:to>
    <mc:AlternateContent xmlns:mc="http://schemas.openxmlformats.org/markup-compatibility/2006" xmlns:a14="http://schemas.microsoft.com/office/drawing/2010/main">
      <mc:Choice Requires="a14">
        <xdr:graphicFrame macro="">
          <xdr:nvGraphicFramePr>
            <xdr:cNvPr id="35" name="sliMonth_Obj">
              <a:extLst>
                <a:ext uri="{FF2B5EF4-FFF2-40B4-BE49-F238E27FC236}">
                  <a16:creationId xmlns:a16="http://schemas.microsoft.com/office/drawing/2014/main" id="{C2CE2CDA-4FD5-A479-D2D4-ED778E07C087}"/>
                </a:ext>
              </a:extLst>
            </xdr:cNvPr>
            <xdr:cNvGraphicFramePr/>
          </xdr:nvGraphicFramePr>
          <xdr:xfrm>
            <a:off x="0" y="0"/>
            <a:ext cx="0" cy="0"/>
          </xdr:xfrm>
          <a:graphic>
            <a:graphicData uri="http://schemas.microsoft.com/office/drawing/2010/slicer">
              <sle:slicer xmlns:sle="http://schemas.microsoft.com/office/drawing/2010/slicer" name="sliMonth_Obj"/>
            </a:graphicData>
          </a:graphic>
        </xdr:graphicFrame>
      </mc:Choice>
      <mc:Fallback xmlns="">
        <xdr:sp macro="" textlink="">
          <xdr:nvSpPr>
            <xdr:cNvPr id="0" name=""/>
            <xdr:cNvSpPr>
              <a:spLocks noTextEdit="1"/>
            </xdr:cNvSpPr>
          </xdr:nvSpPr>
          <xdr:spPr>
            <a:xfrm>
              <a:off x="376141" y="2905455"/>
              <a:ext cx="1919165" cy="518365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137862</xdr:colOff>
      <xdr:row>7</xdr:row>
      <xdr:rowOff>234661</xdr:rowOff>
    </xdr:from>
    <xdr:to>
      <xdr:col>10</xdr:col>
      <xdr:colOff>563981</xdr:colOff>
      <xdr:row>17</xdr:row>
      <xdr:rowOff>120361</xdr:rowOff>
    </xdr:to>
    <xdr:graphicFrame macro="">
      <xdr:nvGraphicFramePr>
        <xdr:cNvPr id="37" name="Chart 36">
          <a:extLst>
            <a:ext uri="{FF2B5EF4-FFF2-40B4-BE49-F238E27FC236}">
              <a16:creationId xmlns:a16="http://schemas.microsoft.com/office/drawing/2014/main" id="{A26F1AE6-715E-4994-A558-E5689D492B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nash mohmad" refreshedDate="46239.487285069445" createdVersion="8" refreshedVersion="8" minRefreshableVersion="3" recordCount="577" xr:uid="{3D9A1604-3118-43B8-BEA0-5A3A219DAD9F}">
  <cacheSource type="worksheet">
    <worksheetSource ref="A1:M578" sheet="Dashboard_Source"/>
  </cacheSource>
  <cacheFields count="13">
    <cacheField name="Date" numFmtId="165">
      <sharedItems containsSemiMixedTypes="0" containsNonDate="0" containsDate="1" containsString="0" minDate="2025-01-01T00:00:00" maxDate="2026-08-01T00:00:00"/>
    </cacheField>
    <cacheField name="Year" numFmtId="0">
      <sharedItems containsSemiMixedTypes="0" containsString="0" containsNumber="1" containsInteger="1" minValue="2025" maxValue="2026" count="2">
        <n v="2025"/>
        <n v="2026"/>
      </sharedItems>
    </cacheField>
    <cacheField name="Month" numFmtId="0">
      <sharedItems count="12">
        <s v="Jan"/>
        <s v="Feb"/>
        <s v="Mar"/>
        <s v="Apr"/>
        <s v="May"/>
        <s v="Jun"/>
        <s v="Jul"/>
        <s v="Aug"/>
        <s v="Sep"/>
        <s v="Oct"/>
        <s v="Nov"/>
        <s v="Dec"/>
      </sharedItems>
    </cacheField>
    <cacheField name="Views" numFmtId="0">
      <sharedItems containsSemiMixedTypes="0" containsString="0" containsNumber="1" minValue="450" maxValue="5249"/>
    </cacheField>
    <cacheField name="Average View duration" numFmtId="0">
      <sharedItems containsSemiMixedTypes="0" containsString="0" containsNumber="1" containsInteger="1" minValue="3" maxValue="45"/>
    </cacheField>
    <cacheField name="Subscribers Gained" numFmtId="0">
      <sharedItems containsSemiMixedTypes="0" containsString="0" containsNumber="1" containsInteger="1" minValue="-5" maxValue="76"/>
    </cacheField>
    <cacheField name="Watch Time Hours" numFmtId="0">
      <sharedItems containsSemiMixedTypes="0" containsString="0" containsNumber="1" containsInteger="1" minValue="20" maxValue="449"/>
    </cacheField>
    <cacheField name="Revenue $" numFmtId="168">
      <sharedItems containsSemiMixedTypes="0" containsString="0" containsNumber="1" minValue="7.56" maxValue="2497"/>
    </cacheField>
    <cacheField name="Age Group" numFmtId="0">
      <sharedItems containsSemiMixedTypes="0" containsString="0" containsNumber="1" containsInteger="1" minValue="0" maxValue="55"/>
    </cacheField>
    <cacheField name="Gender" numFmtId="0">
      <sharedItems/>
    </cacheField>
    <cacheField name="Device" numFmtId="0">
      <sharedItems count="4">
        <s v="Mobile"/>
        <s v="Desktop"/>
        <s v="Tablet"/>
        <s v="TV"/>
      </sharedItems>
    </cacheField>
    <cacheField name="Source" numFmtId="0">
      <sharedItems count="6">
        <s v="YouTube Search"/>
        <s v="Browse Features"/>
        <s v="Suggested Videos"/>
        <s v="Direct"/>
        <s v="External"/>
        <s v="Channel Pages"/>
      </sharedItems>
    </cacheField>
    <cacheField name="Country" numFmtId="0">
      <sharedItems count="15">
        <s v="United States"/>
        <s v="India"/>
        <s v="Canada"/>
        <s v="United Kingdom"/>
        <s v="Australia"/>
        <s v="Japan"/>
        <s v="Germany"/>
        <s v="Brazil"/>
        <s v="France"/>
        <s v="Italy"/>
        <s v="Mexico"/>
        <s v="Singapore"/>
        <s v="South Africa"/>
        <s v="United Arab Emirates"/>
        <s v="Spain"/>
      </sharedItems>
    </cacheField>
  </cacheFields>
  <extLst>
    <ext xmlns:x14="http://schemas.microsoft.com/office/spreadsheetml/2009/9/main" uri="{725AE2AE-9491-48be-B2B4-4EB974FC3084}">
      <x14:pivotCacheDefinition pivotCacheId="100556708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77">
  <r>
    <d v="2025-01-01T00:00:00"/>
    <x v="0"/>
    <x v="0"/>
    <n v="615"/>
    <n v="10"/>
    <n v="38"/>
    <n v="212"/>
    <n v="1580.92"/>
    <n v="0"/>
    <s v="Male"/>
    <x v="0"/>
    <x v="0"/>
    <x v="0"/>
  </r>
  <r>
    <d v="2025-01-02T00:00:00"/>
    <x v="0"/>
    <x v="0"/>
    <n v="4667"/>
    <n v="21"/>
    <n v="0"/>
    <n v="349"/>
    <n v="749.5"/>
    <n v="0"/>
    <s v="Female"/>
    <x v="0"/>
    <x v="1"/>
    <x v="0"/>
  </r>
  <r>
    <d v="2025-01-03T00:00:00"/>
    <x v="0"/>
    <x v="0"/>
    <n v="2218"/>
    <n v="41"/>
    <n v="-1"/>
    <n v="210"/>
    <n v="736.53"/>
    <n v="0"/>
    <s v="Female"/>
    <x v="1"/>
    <x v="1"/>
    <x v="0"/>
  </r>
  <r>
    <d v="2025-01-04T00:00:00"/>
    <x v="0"/>
    <x v="0"/>
    <n v="1077"/>
    <n v="15"/>
    <n v="41"/>
    <n v="40"/>
    <n v="2059.2399999999998"/>
    <n v="0"/>
    <s v="Male"/>
    <x v="2"/>
    <x v="2"/>
    <x v="0"/>
  </r>
  <r>
    <d v="2025-01-05T00:00:00"/>
    <x v="0"/>
    <x v="0"/>
    <n v="868"/>
    <n v="10"/>
    <n v="49"/>
    <n v="175"/>
    <n v="256.43"/>
    <n v="0"/>
    <s v="Male"/>
    <x v="0"/>
    <x v="0"/>
    <x v="0"/>
  </r>
  <r>
    <d v="2025-01-06T00:00:00"/>
    <x v="0"/>
    <x v="0"/>
    <n v="1974"/>
    <n v="31"/>
    <n v="3"/>
    <n v="161"/>
    <n v="117"/>
    <n v="0"/>
    <s v="Male"/>
    <x v="0"/>
    <x v="3"/>
    <x v="0"/>
  </r>
  <r>
    <d v="2025-01-07T00:00:00"/>
    <x v="0"/>
    <x v="0"/>
    <n v="702"/>
    <n v="22"/>
    <n v="9"/>
    <n v="288"/>
    <n v="694.7"/>
    <n v="0"/>
    <s v="Female"/>
    <x v="0"/>
    <x v="0"/>
    <x v="0"/>
  </r>
  <r>
    <d v="2025-01-08T00:00:00"/>
    <x v="0"/>
    <x v="0"/>
    <n v="3117"/>
    <n v="27"/>
    <n v="2"/>
    <n v="142"/>
    <n v="1330.48"/>
    <n v="0"/>
    <s v="Male"/>
    <x v="0"/>
    <x v="0"/>
    <x v="0"/>
  </r>
  <r>
    <d v="2025-01-09T00:00:00"/>
    <x v="0"/>
    <x v="0"/>
    <n v="1448"/>
    <n v="17"/>
    <n v="28"/>
    <n v="212"/>
    <n v="1040.24"/>
    <n v="55"/>
    <s v="Male"/>
    <x v="0"/>
    <x v="4"/>
    <x v="0"/>
  </r>
  <r>
    <d v="2025-01-10T00:00:00"/>
    <x v="0"/>
    <x v="0"/>
    <n v="707"/>
    <n v="18"/>
    <n v="39"/>
    <n v="28"/>
    <n v="1474.64"/>
    <n v="0"/>
    <s v="Female"/>
    <x v="0"/>
    <x v="0"/>
    <x v="0"/>
  </r>
  <r>
    <d v="2025-01-11T00:00:00"/>
    <x v="0"/>
    <x v="0"/>
    <n v="3027"/>
    <n v="22"/>
    <n v="-5"/>
    <n v="146"/>
    <n v="1529.31"/>
    <n v="0"/>
    <s v="Male"/>
    <x v="0"/>
    <x v="4"/>
    <x v="0"/>
  </r>
  <r>
    <d v="2025-01-12T00:00:00"/>
    <x v="0"/>
    <x v="0"/>
    <n v="4138"/>
    <n v="3"/>
    <n v="30"/>
    <n v="97"/>
    <n v="2309.11"/>
    <n v="0"/>
    <s v="Male"/>
    <x v="0"/>
    <x v="1"/>
    <x v="0"/>
  </r>
  <r>
    <d v="2025-01-13T00:00:00"/>
    <x v="0"/>
    <x v="0"/>
    <n v="1141"/>
    <n v="34"/>
    <n v="6"/>
    <n v="125"/>
    <n v="1658.85"/>
    <n v="0"/>
    <s v="Male"/>
    <x v="0"/>
    <x v="2"/>
    <x v="0"/>
  </r>
  <r>
    <d v="2025-01-14T00:00:00"/>
    <x v="0"/>
    <x v="0"/>
    <n v="1519"/>
    <n v="9"/>
    <n v="28"/>
    <n v="182"/>
    <n v="1282.2"/>
    <n v="0"/>
    <s v="Female"/>
    <x v="0"/>
    <x v="3"/>
    <x v="0"/>
  </r>
  <r>
    <d v="2025-01-15T00:00:00"/>
    <x v="0"/>
    <x v="0"/>
    <n v="4487"/>
    <n v="3"/>
    <n v="27"/>
    <n v="369"/>
    <n v="1015.56"/>
    <n v="0"/>
    <s v="Male"/>
    <x v="1"/>
    <x v="5"/>
    <x v="0"/>
  </r>
  <r>
    <d v="2025-01-16T00:00:00"/>
    <x v="0"/>
    <x v="0"/>
    <n v="3284"/>
    <n v="17"/>
    <n v="36"/>
    <n v="444"/>
    <n v="2376.14"/>
    <n v="0"/>
    <s v="Male"/>
    <x v="0"/>
    <x v="0"/>
    <x v="0"/>
  </r>
  <r>
    <d v="2025-01-17T00:00:00"/>
    <x v="0"/>
    <x v="0"/>
    <n v="1578"/>
    <n v="22"/>
    <n v="17"/>
    <n v="113"/>
    <n v="1396.25"/>
    <n v="0"/>
    <s v="Male"/>
    <x v="3"/>
    <x v="0"/>
    <x v="0"/>
  </r>
  <r>
    <d v="2025-01-18T00:00:00"/>
    <x v="0"/>
    <x v="0"/>
    <n v="4657"/>
    <n v="36"/>
    <n v="48"/>
    <n v="245"/>
    <n v="259.48"/>
    <n v="0"/>
    <s v="Male"/>
    <x v="0"/>
    <x v="3"/>
    <x v="0"/>
  </r>
  <r>
    <d v="2025-01-19T00:00:00"/>
    <x v="0"/>
    <x v="0"/>
    <n v="4367"/>
    <n v="37"/>
    <n v="22"/>
    <n v="335"/>
    <n v="1699.21"/>
    <n v="0"/>
    <s v="Male"/>
    <x v="1"/>
    <x v="4"/>
    <x v="0"/>
  </r>
  <r>
    <d v="2025-01-20T00:00:00"/>
    <x v="0"/>
    <x v="0"/>
    <n v="546"/>
    <n v="41"/>
    <n v="34"/>
    <n v="371"/>
    <n v="1297.73"/>
    <n v="0"/>
    <s v="Female"/>
    <x v="1"/>
    <x v="3"/>
    <x v="0"/>
  </r>
  <r>
    <d v="2025-01-21T00:00:00"/>
    <x v="0"/>
    <x v="0"/>
    <n v="2974"/>
    <n v="27"/>
    <n v="36"/>
    <n v="162"/>
    <n v="415.96"/>
    <n v="0"/>
    <s v="Male"/>
    <x v="0"/>
    <x v="2"/>
    <x v="0"/>
  </r>
  <r>
    <d v="2025-01-22T00:00:00"/>
    <x v="0"/>
    <x v="0"/>
    <n v="2056"/>
    <n v="18"/>
    <n v="29"/>
    <n v="402"/>
    <n v="1403.64"/>
    <n v="0"/>
    <s v="Male"/>
    <x v="1"/>
    <x v="1"/>
    <x v="0"/>
  </r>
  <r>
    <d v="2025-01-23T00:00:00"/>
    <x v="0"/>
    <x v="0"/>
    <n v="1519"/>
    <n v="29"/>
    <n v="50"/>
    <n v="278"/>
    <n v="622.07000000000005"/>
    <n v="0"/>
    <s v="Female"/>
    <x v="0"/>
    <x v="2"/>
    <x v="0"/>
  </r>
  <r>
    <d v="2025-01-24T00:00:00"/>
    <x v="0"/>
    <x v="0"/>
    <n v="3071"/>
    <n v="21"/>
    <n v="15"/>
    <n v="161"/>
    <n v="1628.69"/>
    <n v="0"/>
    <s v="Female"/>
    <x v="0"/>
    <x v="2"/>
    <x v="0"/>
  </r>
  <r>
    <d v="2025-01-25T00:00:00"/>
    <x v="0"/>
    <x v="0"/>
    <n v="516"/>
    <n v="26"/>
    <n v="45"/>
    <n v="112"/>
    <n v="61.75"/>
    <n v="0"/>
    <s v="Female"/>
    <x v="0"/>
    <x v="2"/>
    <x v="0"/>
  </r>
  <r>
    <d v="2025-01-26T00:00:00"/>
    <x v="0"/>
    <x v="0"/>
    <n v="4045"/>
    <n v="14"/>
    <n v="10"/>
    <n v="291"/>
    <n v="747.65"/>
    <n v="0"/>
    <s v="Male"/>
    <x v="1"/>
    <x v="0"/>
    <x v="0"/>
  </r>
  <r>
    <d v="2025-01-27T00:00:00"/>
    <x v="0"/>
    <x v="0"/>
    <n v="2787"/>
    <n v="18"/>
    <n v="3"/>
    <n v="183"/>
    <n v="2241.08"/>
    <n v="0"/>
    <s v="Male"/>
    <x v="0"/>
    <x v="1"/>
    <x v="0"/>
  </r>
  <r>
    <d v="2025-01-28T00:00:00"/>
    <x v="0"/>
    <x v="0"/>
    <n v="795"/>
    <n v="10"/>
    <n v="50"/>
    <n v="283"/>
    <n v="1570.61"/>
    <n v="0"/>
    <s v="Male"/>
    <x v="0"/>
    <x v="2"/>
    <x v="0"/>
  </r>
  <r>
    <d v="2025-01-29T00:00:00"/>
    <x v="0"/>
    <x v="0"/>
    <n v="3968"/>
    <n v="27"/>
    <n v="15"/>
    <n v="67"/>
    <n v="379.61"/>
    <n v="0"/>
    <s v="Male"/>
    <x v="0"/>
    <x v="2"/>
    <x v="0"/>
  </r>
  <r>
    <d v="2025-01-30T00:00:00"/>
    <x v="0"/>
    <x v="0"/>
    <n v="3440"/>
    <n v="28"/>
    <n v="19"/>
    <n v="255"/>
    <n v="1281.44"/>
    <n v="0"/>
    <s v="Female"/>
    <x v="0"/>
    <x v="4"/>
    <x v="0"/>
  </r>
  <r>
    <d v="2025-01-31T00:00:00"/>
    <x v="0"/>
    <x v="0"/>
    <n v="4963"/>
    <n v="14"/>
    <n v="22"/>
    <n v="196"/>
    <n v="1199.8499999999999"/>
    <n v="0"/>
    <s v="Female"/>
    <x v="0"/>
    <x v="4"/>
    <x v="0"/>
  </r>
  <r>
    <d v="2025-02-01T00:00:00"/>
    <x v="0"/>
    <x v="1"/>
    <n v="3826"/>
    <n v="26"/>
    <n v="23"/>
    <n v="303"/>
    <n v="463.56"/>
    <n v="0"/>
    <s v="Male"/>
    <x v="3"/>
    <x v="4"/>
    <x v="0"/>
  </r>
  <r>
    <d v="2025-02-02T00:00:00"/>
    <x v="0"/>
    <x v="1"/>
    <n v="612"/>
    <n v="32"/>
    <n v="16"/>
    <n v="313"/>
    <n v="2357.34"/>
    <n v="0"/>
    <s v="Male"/>
    <x v="0"/>
    <x v="0"/>
    <x v="0"/>
  </r>
  <r>
    <d v="2025-02-03T00:00:00"/>
    <x v="0"/>
    <x v="1"/>
    <n v="886"/>
    <n v="25"/>
    <n v="40"/>
    <n v="297"/>
    <n v="83.1"/>
    <n v="0"/>
    <s v="Male"/>
    <x v="2"/>
    <x v="2"/>
    <x v="0"/>
  </r>
  <r>
    <d v="2025-02-04T00:00:00"/>
    <x v="0"/>
    <x v="1"/>
    <n v="1621"/>
    <n v="10"/>
    <n v="33"/>
    <n v="282"/>
    <n v="15.34"/>
    <n v="0"/>
    <s v="Female"/>
    <x v="0"/>
    <x v="2"/>
    <x v="0"/>
  </r>
  <r>
    <d v="2025-02-05T00:00:00"/>
    <x v="0"/>
    <x v="1"/>
    <n v="4148"/>
    <n v="36"/>
    <n v="10"/>
    <n v="306"/>
    <n v="241.04"/>
    <n v="0"/>
    <s v="Female"/>
    <x v="1"/>
    <x v="2"/>
    <x v="0"/>
  </r>
  <r>
    <d v="2025-02-06T00:00:00"/>
    <x v="0"/>
    <x v="1"/>
    <n v="4820"/>
    <n v="34"/>
    <n v="29"/>
    <n v="276"/>
    <n v="1642.88"/>
    <n v="0"/>
    <s v="Male"/>
    <x v="1"/>
    <x v="0"/>
    <x v="0"/>
  </r>
  <r>
    <d v="2025-02-07T00:00:00"/>
    <x v="0"/>
    <x v="1"/>
    <n v="4831"/>
    <n v="12"/>
    <n v="37"/>
    <n v="80"/>
    <n v="1639.72"/>
    <n v="0"/>
    <s v="Female"/>
    <x v="1"/>
    <x v="2"/>
    <x v="0"/>
  </r>
  <r>
    <d v="2025-02-08T00:00:00"/>
    <x v="0"/>
    <x v="1"/>
    <n v="4349"/>
    <n v="35"/>
    <n v="8"/>
    <n v="294"/>
    <n v="1436.77"/>
    <n v="0"/>
    <s v="Male"/>
    <x v="2"/>
    <x v="2"/>
    <x v="0"/>
  </r>
  <r>
    <d v="2025-02-09T00:00:00"/>
    <x v="0"/>
    <x v="1"/>
    <n v="2946"/>
    <n v="27"/>
    <n v="40"/>
    <n v="74"/>
    <n v="2125.14"/>
    <n v="0"/>
    <s v="Male"/>
    <x v="0"/>
    <x v="1"/>
    <x v="0"/>
  </r>
  <r>
    <d v="2025-02-10T00:00:00"/>
    <x v="0"/>
    <x v="1"/>
    <n v="2727"/>
    <n v="38"/>
    <n v="36"/>
    <n v="281"/>
    <n v="640.48"/>
    <n v="0"/>
    <s v="Male"/>
    <x v="0"/>
    <x v="4"/>
    <x v="0"/>
  </r>
  <r>
    <d v="2025-02-11T00:00:00"/>
    <x v="0"/>
    <x v="1"/>
    <n v="4814"/>
    <n v="5"/>
    <n v="10"/>
    <n v="96"/>
    <n v="1672.38"/>
    <n v="0"/>
    <s v="Male"/>
    <x v="2"/>
    <x v="3"/>
    <x v="0"/>
  </r>
  <r>
    <d v="2025-02-12T00:00:00"/>
    <x v="0"/>
    <x v="1"/>
    <n v="581"/>
    <n v="36"/>
    <n v="19"/>
    <n v="327"/>
    <n v="1492.9"/>
    <n v="0"/>
    <s v="Female"/>
    <x v="3"/>
    <x v="0"/>
    <x v="0"/>
  </r>
  <r>
    <d v="2025-02-13T00:00:00"/>
    <x v="0"/>
    <x v="1"/>
    <n v="3986"/>
    <n v="22"/>
    <n v="2"/>
    <n v="175"/>
    <n v="823.24"/>
    <n v="0"/>
    <s v="Male"/>
    <x v="0"/>
    <x v="0"/>
    <x v="0"/>
  </r>
  <r>
    <d v="2025-02-14T00:00:00"/>
    <x v="0"/>
    <x v="1"/>
    <n v="4137"/>
    <n v="33"/>
    <n v="3"/>
    <n v="236"/>
    <n v="1483.82"/>
    <n v="0"/>
    <s v="Female"/>
    <x v="0"/>
    <x v="1"/>
    <x v="0"/>
  </r>
  <r>
    <d v="2025-02-15T00:00:00"/>
    <x v="0"/>
    <x v="1"/>
    <n v="677"/>
    <n v="17"/>
    <n v="-4"/>
    <n v="196"/>
    <n v="1209.4000000000001"/>
    <n v="0"/>
    <s v="Female"/>
    <x v="0"/>
    <x v="0"/>
    <x v="0"/>
  </r>
  <r>
    <d v="2025-02-16T00:00:00"/>
    <x v="0"/>
    <x v="1"/>
    <n v="3294"/>
    <n v="29"/>
    <n v="38"/>
    <n v="294"/>
    <n v="2114.83"/>
    <n v="0"/>
    <s v="Female"/>
    <x v="1"/>
    <x v="1"/>
    <x v="0"/>
  </r>
  <r>
    <d v="2025-02-17T00:00:00"/>
    <x v="0"/>
    <x v="1"/>
    <n v="734"/>
    <n v="6"/>
    <n v="14"/>
    <n v="299"/>
    <n v="1727.97"/>
    <n v="0"/>
    <s v="Male"/>
    <x v="0"/>
    <x v="2"/>
    <x v="0"/>
  </r>
  <r>
    <d v="2025-02-18T00:00:00"/>
    <x v="0"/>
    <x v="1"/>
    <n v="1820"/>
    <n v="25"/>
    <n v="-1"/>
    <n v="296"/>
    <n v="1028.99"/>
    <n v="0"/>
    <s v="Male"/>
    <x v="1"/>
    <x v="0"/>
    <x v="0"/>
  </r>
  <r>
    <d v="2025-02-19T00:00:00"/>
    <x v="0"/>
    <x v="1"/>
    <n v="1406"/>
    <n v="16"/>
    <n v="30"/>
    <n v="86"/>
    <n v="691.81"/>
    <n v="0"/>
    <s v="Male"/>
    <x v="0"/>
    <x v="4"/>
    <x v="0"/>
  </r>
  <r>
    <d v="2025-02-20T00:00:00"/>
    <x v="0"/>
    <x v="1"/>
    <n v="3252"/>
    <n v="11"/>
    <n v="-2"/>
    <n v="113"/>
    <n v="1431.52"/>
    <n v="0"/>
    <s v="Female"/>
    <x v="0"/>
    <x v="4"/>
    <x v="0"/>
  </r>
  <r>
    <d v="2025-02-21T00:00:00"/>
    <x v="0"/>
    <x v="1"/>
    <n v="2752"/>
    <n v="22"/>
    <n v="11"/>
    <n v="437"/>
    <n v="644.92999999999995"/>
    <n v="0"/>
    <s v="Male"/>
    <x v="0"/>
    <x v="0"/>
    <x v="0"/>
  </r>
  <r>
    <d v="2025-02-22T00:00:00"/>
    <x v="0"/>
    <x v="1"/>
    <n v="4336"/>
    <n v="20"/>
    <n v="30"/>
    <n v="169"/>
    <n v="2264.3000000000002"/>
    <n v="0"/>
    <s v="Male"/>
    <x v="0"/>
    <x v="0"/>
    <x v="0"/>
  </r>
  <r>
    <d v="2025-02-23T00:00:00"/>
    <x v="0"/>
    <x v="1"/>
    <n v="2102"/>
    <n v="15"/>
    <n v="41"/>
    <n v="367"/>
    <n v="22.85"/>
    <n v="0"/>
    <s v="Male"/>
    <x v="0"/>
    <x v="4"/>
    <x v="0"/>
  </r>
  <r>
    <d v="2025-02-24T00:00:00"/>
    <x v="0"/>
    <x v="1"/>
    <n v="1075"/>
    <n v="25"/>
    <n v="21"/>
    <n v="188"/>
    <n v="2408.1"/>
    <n v="0"/>
    <s v="Female"/>
    <x v="3"/>
    <x v="2"/>
    <x v="0"/>
  </r>
  <r>
    <d v="2025-02-25T00:00:00"/>
    <x v="0"/>
    <x v="1"/>
    <n v="1570"/>
    <n v="36"/>
    <n v="8"/>
    <n v="293"/>
    <n v="917.63"/>
    <n v="0"/>
    <s v="Male"/>
    <x v="0"/>
    <x v="0"/>
    <x v="0"/>
  </r>
  <r>
    <d v="2025-02-26T00:00:00"/>
    <x v="0"/>
    <x v="1"/>
    <n v="4582"/>
    <n v="30"/>
    <n v="4"/>
    <n v="310"/>
    <n v="1130.06"/>
    <n v="0"/>
    <s v="Female"/>
    <x v="0"/>
    <x v="0"/>
    <x v="0"/>
  </r>
  <r>
    <d v="2025-02-27T00:00:00"/>
    <x v="0"/>
    <x v="1"/>
    <n v="1332"/>
    <n v="26"/>
    <n v="0"/>
    <n v="71"/>
    <n v="793.71"/>
    <n v="0"/>
    <s v="Female"/>
    <x v="0"/>
    <x v="0"/>
    <x v="0"/>
  </r>
  <r>
    <d v="2025-02-28T00:00:00"/>
    <x v="0"/>
    <x v="1"/>
    <n v="3023"/>
    <n v="8"/>
    <n v="22"/>
    <n v="212"/>
    <n v="1870.72"/>
    <n v="0"/>
    <s v="Female"/>
    <x v="3"/>
    <x v="2"/>
    <x v="0"/>
  </r>
  <r>
    <d v="2025-03-01T00:00:00"/>
    <x v="0"/>
    <x v="2"/>
    <n v="3544"/>
    <n v="30"/>
    <n v="7"/>
    <n v="232"/>
    <n v="2136.92"/>
    <n v="0"/>
    <s v="Male"/>
    <x v="0"/>
    <x v="4"/>
    <x v="0"/>
  </r>
  <r>
    <d v="2025-03-02T00:00:00"/>
    <x v="0"/>
    <x v="2"/>
    <n v="3842"/>
    <n v="8"/>
    <n v="-4"/>
    <n v="187"/>
    <n v="2110.41"/>
    <n v="0"/>
    <s v="Male"/>
    <x v="0"/>
    <x v="2"/>
    <x v="0"/>
  </r>
  <r>
    <d v="2025-03-03T00:00:00"/>
    <x v="0"/>
    <x v="2"/>
    <n v="4122"/>
    <n v="14"/>
    <n v="6"/>
    <n v="449"/>
    <n v="14.11"/>
    <n v="0"/>
    <s v="Male"/>
    <x v="0"/>
    <x v="3"/>
    <x v="0"/>
  </r>
  <r>
    <d v="2025-03-04T00:00:00"/>
    <x v="0"/>
    <x v="2"/>
    <n v="569"/>
    <n v="29"/>
    <n v="1"/>
    <n v="284"/>
    <n v="982.22"/>
    <n v="0"/>
    <s v="Male"/>
    <x v="0"/>
    <x v="2"/>
    <x v="0"/>
  </r>
  <r>
    <d v="2025-03-05T00:00:00"/>
    <x v="0"/>
    <x v="2"/>
    <n v="1913"/>
    <n v="24"/>
    <n v="27"/>
    <n v="405"/>
    <n v="1061.56"/>
    <n v="0"/>
    <s v="Female"/>
    <x v="0"/>
    <x v="4"/>
    <x v="0"/>
  </r>
  <r>
    <d v="2025-03-06T00:00:00"/>
    <x v="0"/>
    <x v="2"/>
    <n v="2672"/>
    <n v="45"/>
    <n v="11"/>
    <n v="444"/>
    <n v="1747.1"/>
    <n v="0"/>
    <s v="Male"/>
    <x v="0"/>
    <x v="5"/>
    <x v="0"/>
  </r>
  <r>
    <d v="2025-03-07T00:00:00"/>
    <x v="0"/>
    <x v="2"/>
    <n v="2670"/>
    <n v="40"/>
    <n v="-5"/>
    <n v="250"/>
    <n v="1572.16"/>
    <n v="0"/>
    <s v="Male"/>
    <x v="2"/>
    <x v="4"/>
    <x v="0"/>
  </r>
  <r>
    <d v="2025-03-08T00:00:00"/>
    <x v="0"/>
    <x v="2"/>
    <n v="1082"/>
    <n v="34"/>
    <n v="23"/>
    <n v="332"/>
    <n v="1887.29"/>
    <n v="0"/>
    <s v="Male"/>
    <x v="0"/>
    <x v="2"/>
    <x v="0"/>
  </r>
  <r>
    <d v="2025-03-09T00:00:00"/>
    <x v="0"/>
    <x v="2"/>
    <n v="864"/>
    <n v="40"/>
    <n v="13"/>
    <n v="34"/>
    <n v="552.51"/>
    <n v="0"/>
    <s v="Male"/>
    <x v="0"/>
    <x v="0"/>
    <x v="0"/>
  </r>
  <r>
    <d v="2025-03-10T00:00:00"/>
    <x v="0"/>
    <x v="2"/>
    <n v="3179"/>
    <n v="25"/>
    <n v="38"/>
    <n v="388"/>
    <n v="769.65"/>
    <n v="0"/>
    <s v="Female"/>
    <x v="1"/>
    <x v="0"/>
    <x v="0"/>
  </r>
  <r>
    <d v="2025-03-11T00:00:00"/>
    <x v="0"/>
    <x v="2"/>
    <n v="4974"/>
    <n v="22"/>
    <n v="18"/>
    <n v="328"/>
    <n v="859.42"/>
    <n v="0"/>
    <s v="Female"/>
    <x v="0"/>
    <x v="2"/>
    <x v="0"/>
  </r>
  <r>
    <d v="2025-03-12T00:00:00"/>
    <x v="0"/>
    <x v="2"/>
    <n v="3837"/>
    <n v="5"/>
    <n v="44"/>
    <n v="182"/>
    <n v="1773.15"/>
    <n v="0"/>
    <s v="Male"/>
    <x v="0"/>
    <x v="0"/>
    <x v="0"/>
  </r>
  <r>
    <d v="2025-03-13T00:00:00"/>
    <x v="0"/>
    <x v="2"/>
    <n v="1624"/>
    <n v="24"/>
    <n v="29"/>
    <n v="76"/>
    <n v="690.76"/>
    <n v="0"/>
    <s v="Female"/>
    <x v="0"/>
    <x v="2"/>
    <x v="0"/>
  </r>
  <r>
    <d v="2025-03-14T00:00:00"/>
    <x v="0"/>
    <x v="2"/>
    <n v="4810"/>
    <n v="5"/>
    <n v="7"/>
    <n v="365"/>
    <n v="1108.1300000000001"/>
    <n v="0"/>
    <s v="Male"/>
    <x v="0"/>
    <x v="2"/>
    <x v="0"/>
  </r>
  <r>
    <d v="2025-03-15T00:00:00"/>
    <x v="0"/>
    <x v="2"/>
    <n v="867"/>
    <n v="8"/>
    <n v="45"/>
    <n v="340"/>
    <n v="438.87"/>
    <n v="0"/>
    <s v="Female"/>
    <x v="0"/>
    <x v="1"/>
    <x v="0"/>
  </r>
  <r>
    <d v="2025-03-16T00:00:00"/>
    <x v="0"/>
    <x v="2"/>
    <n v="1106"/>
    <n v="26"/>
    <n v="35"/>
    <n v="205"/>
    <n v="1146.1099999999999"/>
    <n v="0"/>
    <s v="Male"/>
    <x v="0"/>
    <x v="2"/>
    <x v="0"/>
  </r>
  <r>
    <d v="2025-03-17T00:00:00"/>
    <x v="0"/>
    <x v="2"/>
    <n v="1361"/>
    <n v="22"/>
    <n v="1"/>
    <n v="377"/>
    <n v="642.74"/>
    <n v="55"/>
    <s v="Male"/>
    <x v="1"/>
    <x v="1"/>
    <x v="0"/>
  </r>
  <r>
    <d v="2025-03-18T00:00:00"/>
    <x v="0"/>
    <x v="2"/>
    <n v="2887"/>
    <n v="33"/>
    <n v="-3"/>
    <n v="384"/>
    <n v="2386.2199999999998"/>
    <n v="0"/>
    <s v="Male"/>
    <x v="1"/>
    <x v="1"/>
    <x v="0"/>
  </r>
  <r>
    <d v="2025-03-19T00:00:00"/>
    <x v="0"/>
    <x v="2"/>
    <n v="1048"/>
    <n v="39"/>
    <n v="41"/>
    <n v="63"/>
    <n v="1233.27"/>
    <n v="0"/>
    <s v="Female"/>
    <x v="3"/>
    <x v="0"/>
    <x v="0"/>
  </r>
  <r>
    <d v="2025-03-20T00:00:00"/>
    <x v="0"/>
    <x v="2"/>
    <n v="1554"/>
    <n v="27"/>
    <n v="33"/>
    <n v="301"/>
    <n v="1383.21"/>
    <n v="0"/>
    <s v="Male"/>
    <x v="0"/>
    <x v="3"/>
    <x v="0"/>
  </r>
  <r>
    <d v="2025-03-21T00:00:00"/>
    <x v="0"/>
    <x v="2"/>
    <n v="1501"/>
    <n v="14"/>
    <n v="35"/>
    <n v="179"/>
    <n v="72.91"/>
    <n v="0"/>
    <s v="Female"/>
    <x v="2"/>
    <x v="2"/>
    <x v="0"/>
  </r>
  <r>
    <d v="2025-03-22T00:00:00"/>
    <x v="0"/>
    <x v="2"/>
    <n v="2557"/>
    <n v="13"/>
    <n v="40"/>
    <n v="385"/>
    <n v="1745.31"/>
    <n v="0"/>
    <s v="Female"/>
    <x v="0"/>
    <x v="0"/>
    <x v="0"/>
  </r>
  <r>
    <d v="2025-03-23T00:00:00"/>
    <x v="0"/>
    <x v="2"/>
    <n v="1945"/>
    <n v="43"/>
    <n v="33"/>
    <n v="444"/>
    <n v="2031.97"/>
    <n v="55"/>
    <s v="Male"/>
    <x v="0"/>
    <x v="4"/>
    <x v="0"/>
  </r>
  <r>
    <d v="2025-03-24T00:00:00"/>
    <x v="0"/>
    <x v="2"/>
    <n v="606"/>
    <n v="24"/>
    <n v="31"/>
    <n v="180"/>
    <n v="1031.1400000000001"/>
    <n v="0"/>
    <s v="Male"/>
    <x v="0"/>
    <x v="0"/>
    <x v="0"/>
  </r>
  <r>
    <d v="2025-03-25T00:00:00"/>
    <x v="0"/>
    <x v="2"/>
    <n v="1985"/>
    <n v="40"/>
    <n v="0"/>
    <n v="136"/>
    <n v="1362.16"/>
    <n v="0"/>
    <s v="Male"/>
    <x v="0"/>
    <x v="2"/>
    <x v="0"/>
  </r>
  <r>
    <d v="2025-03-26T00:00:00"/>
    <x v="0"/>
    <x v="2"/>
    <n v="1785"/>
    <n v="24"/>
    <n v="29"/>
    <n v="427"/>
    <n v="797.54"/>
    <n v="0"/>
    <s v="Male"/>
    <x v="0"/>
    <x v="0"/>
    <x v="0"/>
  </r>
  <r>
    <d v="2025-03-27T00:00:00"/>
    <x v="0"/>
    <x v="2"/>
    <n v="622"/>
    <n v="38"/>
    <n v="25"/>
    <n v="101"/>
    <n v="285.18"/>
    <n v="0"/>
    <s v="Male"/>
    <x v="0"/>
    <x v="0"/>
    <x v="0"/>
  </r>
  <r>
    <d v="2025-03-28T00:00:00"/>
    <x v="0"/>
    <x v="2"/>
    <n v="1617"/>
    <n v="45"/>
    <n v="23"/>
    <n v="296"/>
    <n v="1985.54"/>
    <n v="0"/>
    <s v="Male"/>
    <x v="0"/>
    <x v="0"/>
    <x v="0"/>
  </r>
  <r>
    <d v="2025-03-29T00:00:00"/>
    <x v="0"/>
    <x v="2"/>
    <n v="1109"/>
    <n v="42"/>
    <n v="38"/>
    <n v="225"/>
    <n v="98.42"/>
    <n v="0"/>
    <s v="Male"/>
    <x v="0"/>
    <x v="2"/>
    <x v="0"/>
  </r>
  <r>
    <d v="2025-03-30T00:00:00"/>
    <x v="0"/>
    <x v="2"/>
    <n v="3466"/>
    <n v="27"/>
    <n v="33"/>
    <n v="362"/>
    <n v="1694.7"/>
    <n v="0"/>
    <s v="Female"/>
    <x v="1"/>
    <x v="2"/>
    <x v="0"/>
  </r>
  <r>
    <d v="2025-03-31T00:00:00"/>
    <x v="0"/>
    <x v="2"/>
    <n v="1677"/>
    <n v="35"/>
    <n v="-1"/>
    <n v="85"/>
    <n v="2381.09"/>
    <n v="0"/>
    <s v="Male"/>
    <x v="0"/>
    <x v="0"/>
    <x v="0"/>
  </r>
  <r>
    <d v="2025-04-01T00:00:00"/>
    <x v="0"/>
    <x v="3"/>
    <n v="1727"/>
    <n v="31"/>
    <n v="9"/>
    <n v="321"/>
    <n v="2277.98"/>
    <n v="0"/>
    <s v="Male"/>
    <x v="0"/>
    <x v="4"/>
    <x v="0"/>
  </r>
  <r>
    <d v="2025-04-02T00:00:00"/>
    <x v="0"/>
    <x v="3"/>
    <n v="3265"/>
    <n v="20"/>
    <n v="-4"/>
    <n v="319"/>
    <n v="91.18"/>
    <n v="0"/>
    <s v="Male"/>
    <x v="1"/>
    <x v="4"/>
    <x v="0"/>
  </r>
  <r>
    <d v="2025-04-03T00:00:00"/>
    <x v="0"/>
    <x v="3"/>
    <n v="4191"/>
    <n v="19"/>
    <n v="-1"/>
    <n v="235"/>
    <n v="2159.61"/>
    <n v="0"/>
    <s v="Female"/>
    <x v="0"/>
    <x v="0"/>
    <x v="0"/>
  </r>
  <r>
    <d v="2025-04-04T00:00:00"/>
    <x v="0"/>
    <x v="3"/>
    <n v="2726"/>
    <n v="35"/>
    <n v="48"/>
    <n v="399"/>
    <n v="314.06"/>
    <n v="0"/>
    <s v="Male"/>
    <x v="0"/>
    <x v="5"/>
    <x v="0"/>
  </r>
  <r>
    <d v="2025-04-05T00:00:00"/>
    <x v="0"/>
    <x v="3"/>
    <n v="2077"/>
    <n v="24"/>
    <n v="50"/>
    <n v="20"/>
    <n v="1560.44"/>
    <n v="0"/>
    <s v="Male"/>
    <x v="0"/>
    <x v="2"/>
    <x v="0"/>
  </r>
  <r>
    <d v="2025-04-06T00:00:00"/>
    <x v="0"/>
    <x v="3"/>
    <n v="4447"/>
    <n v="10"/>
    <n v="-2"/>
    <n v="225"/>
    <n v="1457.28"/>
    <n v="0"/>
    <s v="Male"/>
    <x v="0"/>
    <x v="0"/>
    <x v="0"/>
  </r>
  <r>
    <d v="2025-04-07T00:00:00"/>
    <x v="0"/>
    <x v="3"/>
    <n v="2541"/>
    <n v="6"/>
    <n v="30"/>
    <n v="230"/>
    <n v="1252.08"/>
    <n v="0"/>
    <s v="Male"/>
    <x v="2"/>
    <x v="2"/>
    <x v="0"/>
  </r>
  <r>
    <d v="2025-04-08T00:00:00"/>
    <x v="0"/>
    <x v="3"/>
    <n v="2249"/>
    <n v="42"/>
    <n v="4"/>
    <n v="174"/>
    <n v="1423.34"/>
    <n v="0"/>
    <s v="Female"/>
    <x v="1"/>
    <x v="4"/>
    <x v="0"/>
  </r>
  <r>
    <d v="2025-04-09T00:00:00"/>
    <x v="0"/>
    <x v="3"/>
    <n v="2505"/>
    <n v="13"/>
    <n v="22"/>
    <n v="278"/>
    <n v="734.9"/>
    <n v="0"/>
    <s v="Male"/>
    <x v="2"/>
    <x v="0"/>
    <x v="0"/>
  </r>
  <r>
    <d v="2025-04-10T00:00:00"/>
    <x v="0"/>
    <x v="3"/>
    <n v="4596"/>
    <n v="31"/>
    <n v="11"/>
    <n v="431"/>
    <n v="145.55000000000001"/>
    <n v="0"/>
    <s v="Male"/>
    <x v="1"/>
    <x v="1"/>
    <x v="0"/>
  </r>
  <r>
    <d v="2025-04-11T00:00:00"/>
    <x v="0"/>
    <x v="3"/>
    <n v="2556"/>
    <n v="9"/>
    <n v="19"/>
    <n v="358"/>
    <n v="133.6"/>
    <n v="55"/>
    <s v="Male"/>
    <x v="0"/>
    <x v="0"/>
    <x v="0"/>
  </r>
  <r>
    <d v="2025-04-12T00:00:00"/>
    <x v="0"/>
    <x v="3"/>
    <n v="4167"/>
    <n v="31"/>
    <n v="28"/>
    <n v="23"/>
    <n v="666.25"/>
    <n v="0"/>
    <s v="Male"/>
    <x v="1"/>
    <x v="1"/>
    <x v="0"/>
  </r>
  <r>
    <d v="2025-04-13T00:00:00"/>
    <x v="0"/>
    <x v="3"/>
    <n v="3492"/>
    <n v="31"/>
    <n v="3"/>
    <n v="393"/>
    <n v="688"/>
    <n v="0"/>
    <s v="Male"/>
    <x v="0"/>
    <x v="4"/>
    <x v="0"/>
  </r>
  <r>
    <d v="2025-04-14T00:00:00"/>
    <x v="0"/>
    <x v="3"/>
    <n v="3375"/>
    <n v="35"/>
    <n v="45"/>
    <n v="164"/>
    <n v="644.39"/>
    <n v="0"/>
    <s v="Male"/>
    <x v="1"/>
    <x v="1"/>
    <x v="0"/>
  </r>
  <r>
    <d v="2025-04-15T00:00:00"/>
    <x v="0"/>
    <x v="3"/>
    <n v="1514"/>
    <n v="30"/>
    <n v="45"/>
    <n v="414"/>
    <n v="1357.74"/>
    <n v="0"/>
    <s v="Male"/>
    <x v="0"/>
    <x v="0"/>
    <x v="0"/>
  </r>
  <r>
    <d v="2025-04-16T00:00:00"/>
    <x v="0"/>
    <x v="3"/>
    <n v="3184"/>
    <n v="37"/>
    <n v="21"/>
    <n v="22"/>
    <n v="771.84"/>
    <n v="0"/>
    <s v="Male"/>
    <x v="2"/>
    <x v="1"/>
    <x v="0"/>
  </r>
  <r>
    <d v="2025-04-17T00:00:00"/>
    <x v="0"/>
    <x v="3"/>
    <n v="2543"/>
    <n v="35"/>
    <n v="41"/>
    <n v="390"/>
    <n v="1829.59"/>
    <n v="0"/>
    <s v="Female"/>
    <x v="0"/>
    <x v="0"/>
    <x v="0"/>
  </r>
  <r>
    <d v="2025-04-18T00:00:00"/>
    <x v="0"/>
    <x v="3"/>
    <n v="4920"/>
    <n v="5"/>
    <n v="10"/>
    <n v="170"/>
    <n v="1986.18"/>
    <n v="0"/>
    <s v="Female"/>
    <x v="0"/>
    <x v="2"/>
    <x v="0"/>
  </r>
  <r>
    <d v="2025-04-19T00:00:00"/>
    <x v="0"/>
    <x v="3"/>
    <n v="4632"/>
    <n v="44"/>
    <n v="5"/>
    <n v="388"/>
    <n v="1049.83"/>
    <n v="0"/>
    <s v="Female"/>
    <x v="0"/>
    <x v="1"/>
    <x v="0"/>
  </r>
  <r>
    <d v="2025-04-20T00:00:00"/>
    <x v="0"/>
    <x v="3"/>
    <n v="4682"/>
    <n v="45"/>
    <n v="12"/>
    <n v="192"/>
    <n v="1868.35"/>
    <n v="0"/>
    <s v="Female"/>
    <x v="0"/>
    <x v="4"/>
    <x v="0"/>
  </r>
  <r>
    <d v="2025-04-21T00:00:00"/>
    <x v="0"/>
    <x v="3"/>
    <n v="779"/>
    <n v="20"/>
    <n v="4"/>
    <n v="191"/>
    <n v="683.14"/>
    <n v="0"/>
    <s v="Male"/>
    <x v="2"/>
    <x v="4"/>
    <x v="0"/>
  </r>
  <r>
    <d v="2025-04-22T00:00:00"/>
    <x v="0"/>
    <x v="3"/>
    <n v="1171"/>
    <n v="31"/>
    <n v="42"/>
    <n v="324"/>
    <n v="375.07"/>
    <n v="0"/>
    <s v="Male"/>
    <x v="0"/>
    <x v="0"/>
    <x v="0"/>
  </r>
  <r>
    <d v="2025-04-23T00:00:00"/>
    <x v="0"/>
    <x v="3"/>
    <n v="2645"/>
    <n v="39"/>
    <n v="-2"/>
    <n v="300"/>
    <n v="1459.49"/>
    <n v="0"/>
    <s v="Male"/>
    <x v="0"/>
    <x v="2"/>
    <x v="0"/>
  </r>
  <r>
    <d v="2025-04-24T00:00:00"/>
    <x v="0"/>
    <x v="3"/>
    <n v="4075"/>
    <n v="13"/>
    <n v="42"/>
    <n v="410"/>
    <n v="1369.59"/>
    <n v="0"/>
    <s v="Female"/>
    <x v="0"/>
    <x v="5"/>
    <x v="0"/>
  </r>
  <r>
    <d v="2025-04-25T00:00:00"/>
    <x v="0"/>
    <x v="3"/>
    <n v="1572"/>
    <n v="39"/>
    <n v="15"/>
    <n v="29"/>
    <n v="1267.27"/>
    <n v="0"/>
    <s v="Male"/>
    <x v="0"/>
    <x v="0"/>
    <x v="0"/>
  </r>
  <r>
    <d v="2025-04-26T00:00:00"/>
    <x v="0"/>
    <x v="3"/>
    <n v="4284"/>
    <n v="20"/>
    <n v="18"/>
    <n v="412"/>
    <n v="105.4"/>
    <n v="0"/>
    <s v="Female"/>
    <x v="1"/>
    <x v="0"/>
    <x v="0"/>
  </r>
  <r>
    <d v="2025-04-27T00:00:00"/>
    <x v="0"/>
    <x v="3"/>
    <n v="524"/>
    <n v="5"/>
    <n v="22"/>
    <n v="324"/>
    <n v="1127.05"/>
    <n v="0"/>
    <s v="Male"/>
    <x v="1"/>
    <x v="0"/>
    <x v="0"/>
  </r>
  <r>
    <d v="2025-04-28T00:00:00"/>
    <x v="0"/>
    <x v="3"/>
    <n v="2590"/>
    <n v="36"/>
    <n v="-2"/>
    <n v="192"/>
    <n v="1327.14"/>
    <n v="0"/>
    <s v="Male"/>
    <x v="1"/>
    <x v="2"/>
    <x v="0"/>
  </r>
  <r>
    <d v="2025-04-29T00:00:00"/>
    <x v="0"/>
    <x v="3"/>
    <n v="4253"/>
    <n v="41"/>
    <n v="28"/>
    <n v="72"/>
    <n v="729.82"/>
    <n v="0"/>
    <s v="Male"/>
    <x v="0"/>
    <x v="0"/>
    <x v="0"/>
  </r>
  <r>
    <d v="2025-04-30T00:00:00"/>
    <x v="0"/>
    <x v="3"/>
    <n v="4117"/>
    <n v="24"/>
    <n v="28"/>
    <n v="145"/>
    <n v="1438.94"/>
    <n v="0"/>
    <s v="Female"/>
    <x v="0"/>
    <x v="1"/>
    <x v="0"/>
  </r>
  <r>
    <d v="2025-05-01T00:00:00"/>
    <x v="0"/>
    <x v="4"/>
    <n v="4920"/>
    <n v="43"/>
    <n v="44"/>
    <n v="369"/>
    <n v="8.65"/>
    <n v="0"/>
    <s v="Female"/>
    <x v="0"/>
    <x v="2"/>
    <x v="1"/>
  </r>
  <r>
    <d v="2025-05-02T00:00:00"/>
    <x v="0"/>
    <x v="4"/>
    <n v="1994"/>
    <n v="43"/>
    <n v="10"/>
    <n v="413"/>
    <n v="723.57"/>
    <n v="0"/>
    <s v="Female"/>
    <x v="0"/>
    <x v="0"/>
    <x v="1"/>
  </r>
  <r>
    <d v="2025-05-03T00:00:00"/>
    <x v="0"/>
    <x v="4"/>
    <n v="794"/>
    <n v="41"/>
    <n v="41"/>
    <n v="231"/>
    <n v="1208.01"/>
    <n v="0"/>
    <s v="Female"/>
    <x v="0"/>
    <x v="4"/>
    <x v="1"/>
  </r>
  <r>
    <d v="2025-05-04T00:00:00"/>
    <x v="0"/>
    <x v="4"/>
    <n v="3915"/>
    <n v="17"/>
    <n v="43"/>
    <n v="304"/>
    <n v="1819.6"/>
    <n v="0"/>
    <s v="Male"/>
    <x v="0"/>
    <x v="2"/>
    <x v="1"/>
  </r>
  <r>
    <d v="2025-05-05T00:00:00"/>
    <x v="0"/>
    <x v="4"/>
    <n v="1424"/>
    <n v="3"/>
    <n v="6"/>
    <n v="288"/>
    <n v="2115.58"/>
    <n v="0"/>
    <s v="Male"/>
    <x v="1"/>
    <x v="0"/>
    <x v="1"/>
  </r>
  <r>
    <d v="2025-05-06T00:00:00"/>
    <x v="0"/>
    <x v="4"/>
    <n v="1545"/>
    <n v="33"/>
    <n v="1"/>
    <n v="215"/>
    <n v="1915.41"/>
    <n v="0"/>
    <s v="Male"/>
    <x v="0"/>
    <x v="0"/>
    <x v="1"/>
  </r>
  <r>
    <d v="2025-05-07T00:00:00"/>
    <x v="0"/>
    <x v="4"/>
    <n v="3372"/>
    <n v="22"/>
    <n v="37"/>
    <n v="370"/>
    <n v="193.12"/>
    <n v="55"/>
    <s v="Male"/>
    <x v="0"/>
    <x v="5"/>
    <x v="1"/>
  </r>
  <r>
    <d v="2025-05-08T00:00:00"/>
    <x v="0"/>
    <x v="4"/>
    <n v="4570"/>
    <n v="11"/>
    <n v="24"/>
    <n v="71"/>
    <n v="1449.9"/>
    <n v="0"/>
    <s v="Male"/>
    <x v="0"/>
    <x v="5"/>
    <x v="1"/>
  </r>
  <r>
    <d v="2025-05-09T00:00:00"/>
    <x v="0"/>
    <x v="4"/>
    <n v="2381"/>
    <n v="31"/>
    <n v="13"/>
    <n v="252"/>
    <n v="2201.4699999999998"/>
    <n v="0"/>
    <s v="Female"/>
    <x v="0"/>
    <x v="5"/>
    <x v="1"/>
  </r>
  <r>
    <d v="2025-05-10T00:00:00"/>
    <x v="0"/>
    <x v="4"/>
    <n v="3944"/>
    <n v="37"/>
    <n v="28"/>
    <n v="386"/>
    <n v="318.89999999999998"/>
    <n v="0"/>
    <s v="Male"/>
    <x v="0"/>
    <x v="3"/>
    <x v="1"/>
  </r>
  <r>
    <d v="2025-05-11T00:00:00"/>
    <x v="0"/>
    <x v="4"/>
    <n v="3279"/>
    <n v="31"/>
    <n v="47"/>
    <n v="447"/>
    <n v="1567.17"/>
    <n v="0"/>
    <s v="Male"/>
    <x v="3"/>
    <x v="2"/>
    <x v="1"/>
  </r>
  <r>
    <d v="2025-05-12T00:00:00"/>
    <x v="0"/>
    <x v="4"/>
    <n v="3724"/>
    <n v="39"/>
    <n v="24"/>
    <n v="67"/>
    <n v="1914.89"/>
    <n v="0"/>
    <s v="Male"/>
    <x v="3"/>
    <x v="4"/>
    <x v="1"/>
  </r>
  <r>
    <d v="2025-05-13T00:00:00"/>
    <x v="0"/>
    <x v="4"/>
    <n v="4606"/>
    <n v="21"/>
    <n v="42"/>
    <n v="386"/>
    <n v="2492.41"/>
    <n v="0"/>
    <s v="Male"/>
    <x v="2"/>
    <x v="3"/>
    <x v="1"/>
  </r>
  <r>
    <d v="2025-05-14T00:00:00"/>
    <x v="0"/>
    <x v="4"/>
    <n v="2996"/>
    <n v="11"/>
    <n v="20"/>
    <n v="304"/>
    <n v="463.51"/>
    <n v="0"/>
    <s v="Male"/>
    <x v="1"/>
    <x v="2"/>
    <x v="1"/>
  </r>
  <r>
    <d v="2025-05-15T00:00:00"/>
    <x v="0"/>
    <x v="4"/>
    <n v="4581"/>
    <n v="28"/>
    <n v="35"/>
    <n v="374"/>
    <n v="942.86"/>
    <n v="0"/>
    <s v="Male"/>
    <x v="0"/>
    <x v="2"/>
    <x v="1"/>
  </r>
  <r>
    <d v="2025-05-16T00:00:00"/>
    <x v="0"/>
    <x v="4"/>
    <n v="4560"/>
    <n v="14"/>
    <n v="44"/>
    <n v="60"/>
    <n v="2274.64"/>
    <n v="0"/>
    <s v="Male"/>
    <x v="0"/>
    <x v="3"/>
    <x v="1"/>
  </r>
  <r>
    <d v="2025-05-17T00:00:00"/>
    <x v="0"/>
    <x v="4"/>
    <n v="4845"/>
    <n v="18"/>
    <n v="27"/>
    <n v="394"/>
    <n v="1194.1199999999999"/>
    <n v="0"/>
    <s v="Male"/>
    <x v="1"/>
    <x v="2"/>
    <x v="1"/>
  </r>
  <r>
    <d v="2025-05-18T00:00:00"/>
    <x v="0"/>
    <x v="4"/>
    <n v="3953"/>
    <n v="9"/>
    <n v="9"/>
    <n v="174"/>
    <n v="1627.89"/>
    <n v="0"/>
    <s v="Male"/>
    <x v="0"/>
    <x v="1"/>
    <x v="1"/>
  </r>
  <r>
    <d v="2025-05-19T00:00:00"/>
    <x v="0"/>
    <x v="4"/>
    <n v="3275"/>
    <n v="43"/>
    <n v="24"/>
    <n v="418"/>
    <n v="1362.01"/>
    <n v="0"/>
    <s v="Male"/>
    <x v="2"/>
    <x v="1"/>
    <x v="1"/>
  </r>
  <r>
    <d v="2025-05-20T00:00:00"/>
    <x v="0"/>
    <x v="4"/>
    <n v="4208"/>
    <n v="45"/>
    <n v="3"/>
    <n v="322"/>
    <n v="1641.01"/>
    <n v="0"/>
    <s v="Male"/>
    <x v="0"/>
    <x v="2"/>
    <x v="1"/>
  </r>
  <r>
    <d v="2025-05-21T00:00:00"/>
    <x v="0"/>
    <x v="4"/>
    <n v="626"/>
    <n v="17"/>
    <n v="30"/>
    <n v="128"/>
    <n v="1675.25"/>
    <n v="0"/>
    <s v="Male"/>
    <x v="1"/>
    <x v="5"/>
    <x v="1"/>
  </r>
  <r>
    <d v="2025-05-22T00:00:00"/>
    <x v="0"/>
    <x v="4"/>
    <n v="3188"/>
    <n v="24"/>
    <n v="-1"/>
    <n v="36"/>
    <n v="956.18"/>
    <n v="55"/>
    <s v="Male"/>
    <x v="0"/>
    <x v="3"/>
    <x v="1"/>
  </r>
  <r>
    <d v="2025-05-23T00:00:00"/>
    <x v="0"/>
    <x v="4"/>
    <n v="1925"/>
    <n v="15"/>
    <n v="27"/>
    <n v="360"/>
    <n v="1816.33"/>
    <n v="0"/>
    <s v="Male"/>
    <x v="1"/>
    <x v="4"/>
    <x v="1"/>
  </r>
  <r>
    <d v="2025-05-24T00:00:00"/>
    <x v="0"/>
    <x v="4"/>
    <n v="1032"/>
    <n v="45"/>
    <n v="36"/>
    <n v="329"/>
    <n v="2341.36"/>
    <n v="0"/>
    <s v="Male"/>
    <x v="0"/>
    <x v="2"/>
    <x v="1"/>
  </r>
  <r>
    <d v="2025-05-25T00:00:00"/>
    <x v="0"/>
    <x v="4"/>
    <n v="1005"/>
    <n v="12"/>
    <n v="34"/>
    <n v="307"/>
    <n v="1847.61"/>
    <n v="0"/>
    <s v="Female"/>
    <x v="0"/>
    <x v="2"/>
    <x v="1"/>
  </r>
  <r>
    <d v="2025-05-26T00:00:00"/>
    <x v="0"/>
    <x v="4"/>
    <n v="4927"/>
    <n v="6"/>
    <n v="2"/>
    <n v="136"/>
    <n v="92.14"/>
    <n v="0"/>
    <s v="Female"/>
    <x v="0"/>
    <x v="1"/>
    <x v="1"/>
  </r>
  <r>
    <d v="2025-05-27T00:00:00"/>
    <x v="0"/>
    <x v="4"/>
    <n v="1460"/>
    <n v="44"/>
    <n v="47"/>
    <n v="253"/>
    <n v="2397.16"/>
    <n v="0"/>
    <s v="Male"/>
    <x v="3"/>
    <x v="2"/>
    <x v="1"/>
  </r>
  <r>
    <d v="2025-05-28T00:00:00"/>
    <x v="0"/>
    <x v="4"/>
    <n v="4959"/>
    <n v="35"/>
    <n v="6"/>
    <n v="407"/>
    <n v="1483.29"/>
    <n v="0"/>
    <s v="Female"/>
    <x v="0"/>
    <x v="1"/>
    <x v="1"/>
  </r>
  <r>
    <d v="2025-05-29T00:00:00"/>
    <x v="0"/>
    <x v="4"/>
    <n v="3935"/>
    <n v="7"/>
    <n v="6"/>
    <n v="273"/>
    <n v="1799.14"/>
    <n v="0"/>
    <s v="Male"/>
    <x v="2"/>
    <x v="2"/>
    <x v="1"/>
  </r>
  <r>
    <d v="2025-05-30T00:00:00"/>
    <x v="0"/>
    <x v="4"/>
    <n v="4272"/>
    <n v="45"/>
    <n v="16"/>
    <n v="366"/>
    <n v="247.44"/>
    <n v="0"/>
    <s v="Male"/>
    <x v="0"/>
    <x v="5"/>
    <x v="1"/>
  </r>
  <r>
    <d v="2025-05-31T00:00:00"/>
    <x v="0"/>
    <x v="4"/>
    <n v="3748"/>
    <n v="42"/>
    <n v="22"/>
    <n v="114"/>
    <n v="2456.4899999999998"/>
    <n v="0"/>
    <s v="Male"/>
    <x v="3"/>
    <x v="0"/>
    <x v="1"/>
  </r>
  <r>
    <d v="2025-06-01T00:00:00"/>
    <x v="0"/>
    <x v="5"/>
    <n v="3637"/>
    <n v="10"/>
    <n v="28"/>
    <n v="360"/>
    <n v="1213.3800000000001"/>
    <n v="0"/>
    <s v="Male"/>
    <x v="0"/>
    <x v="0"/>
    <x v="1"/>
  </r>
  <r>
    <d v="2025-06-02T00:00:00"/>
    <x v="0"/>
    <x v="5"/>
    <n v="1850"/>
    <n v="41"/>
    <n v="15"/>
    <n v="204"/>
    <n v="1347.46"/>
    <n v="0"/>
    <s v="Female"/>
    <x v="3"/>
    <x v="2"/>
    <x v="1"/>
  </r>
  <r>
    <d v="2025-06-03T00:00:00"/>
    <x v="0"/>
    <x v="5"/>
    <n v="3728"/>
    <n v="29"/>
    <n v="39"/>
    <n v="376"/>
    <n v="366.93"/>
    <n v="0"/>
    <s v="Male"/>
    <x v="0"/>
    <x v="2"/>
    <x v="1"/>
  </r>
  <r>
    <d v="2025-06-04T00:00:00"/>
    <x v="0"/>
    <x v="5"/>
    <n v="2662"/>
    <n v="6"/>
    <n v="32"/>
    <n v="425"/>
    <n v="1534.01"/>
    <n v="0"/>
    <s v="Male"/>
    <x v="0"/>
    <x v="4"/>
    <x v="1"/>
  </r>
  <r>
    <d v="2025-06-05T00:00:00"/>
    <x v="0"/>
    <x v="5"/>
    <n v="3455"/>
    <n v="5"/>
    <n v="21"/>
    <n v="388"/>
    <n v="2086.17"/>
    <n v="0"/>
    <s v="Female"/>
    <x v="0"/>
    <x v="4"/>
    <x v="1"/>
  </r>
  <r>
    <d v="2025-06-06T00:00:00"/>
    <x v="0"/>
    <x v="5"/>
    <n v="3100"/>
    <n v="18"/>
    <n v="44"/>
    <n v="197"/>
    <n v="1862.94"/>
    <n v="0"/>
    <s v="Male"/>
    <x v="0"/>
    <x v="0"/>
    <x v="1"/>
  </r>
  <r>
    <d v="2025-06-07T00:00:00"/>
    <x v="0"/>
    <x v="5"/>
    <n v="1047"/>
    <n v="24"/>
    <n v="21"/>
    <n v="80"/>
    <n v="1017.43"/>
    <n v="0"/>
    <s v="Female"/>
    <x v="0"/>
    <x v="1"/>
    <x v="1"/>
  </r>
  <r>
    <d v="2025-06-08T00:00:00"/>
    <x v="0"/>
    <x v="5"/>
    <n v="2973"/>
    <n v="34"/>
    <n v="46"/>
    <n v="319"/>
    <n v="1963.97"/>
    <n v="0"/>
    <s v="Female"/>
    <x v="0"/>
    <x v="5"/>
    <x v="1"/>
  </r>
  <r>
    <d v="2025-06-09T00:00:00"/>
    <x v="0"/>
    <x v="5"/>
    <n v="2597"/>
    <n v="12"/>
    <n v="47"/>
    <n v="274"/>
    <n v="718.31"/>
    <n v="0"/>
    <s v="Female"/>
    <x v="1"/>
    <x v="1"/>
    <x v="1"/>
  </r>
  <r>
    <d v="2025-06-10T00:00:00"/>
    <x v="0"/>
    <x v="5"/>
    <n v="4565"/>
    <n v="12"/>
    <n v="47"/>
    <n v="188"/>
    <n v="1535.92"/>
    <n v="0"/>
    <s v="Male"/>
    <x v="1"/>
    <x v="0"/>
    <x v="1"/>
  </r>
  <r>
    <d v="2025-06-11T00:00:00"/>
    <x v="0"/>
    <x v="5"/>
    <n v="1903"/>
    <n v="4"/>
    <n v="30"/>
    <n v="249"/>
    <n v="25.75"/>
    <n v="0"/>
    <s v="Male"/>
    <x v="1"/>
    <x v="2"/>
    <x v="1"/>
  </r>
  <r>
    <d v="2025-06-12T00:00:00"/>
    <x v="0"/>
    <x v="5"/>
    <n v="3668"/>
    <n v="36"/>
    <n v="20"/>
    <n v="397"/>
    <n v="506.28"/>
    <n v="0"/>
    <s v="Male"/>
    <x v="0"/>
    <x v="2"/>
    <x v="1"/>
  </r>
  <r>
    <d v="2025-06-13T00:00:00"/>
    <x v="0"/>
    <x v="5"/>
    <n v="4851"/>
    <n v="23"/>
    <n v="16"/>
    <n v="73"/>
    <n v="2026.1"/>
    <n v="0"/>
    <s v="Male"/>
    <x v="0"/>
    <x v="0"/>
    <x v="1"/>
  </r>
  <r>
    <d v="2025-06-14T00:00:00"/>
    <x v="0"/>
    <x v="5"/>
    <n v="3835"/>
    <n v="22"/>
    <n v="5"/>
    <n v="114"/>
    <n v="652.19000000000005"/>
    <n v="0"/>
    <s v="Female"/>
    <x v="0"/>
    <x v="1"/>
    <x v="1"/>
  </r>
  <r>
    <d v="2025-06-15T00:00:00"/>
    <x v="0"/>
    <x v="5"/>
    <n v="4196"/>
    <n v="10"/>
    <n v="-4"/>
    <n v="40"/>
    <n v="2322.5300000000002"/>
    <n v="0"/>
    <s v="Male"/>
    <x v="0"/>
    <x v="1"/>
    <x v="1"/>
  </r>
  <r>
    <d v="2025-06-16T00:00:00"/>
    <x v="0"/>
    <x v="5"/>
    <n v="3028"/>
    <n v="34"/>
    <n v="18"/>
    <n v="226"/>
    <n v="950.89"/>
    <n v="0"/>
    <s v="Female"/>
    <x v="3"/>
    <x v="5"/>
    <x v="1"/>
  </r>
  <r>
    <d v="2025-06-17T00:00:00"/>
    <x v="0"/>
    <x v="5"/>
    <n v="4081"/>
    <n v="41"/>
    <n v="39"/>
    <n v="384"/>
    <n v="1255.05"/>
    <n v="0"/>
    <s v="Male"/>
    <x v="0"/>
    <x v="0"/>
    <x v="1"/>
  </r>
  <r>
    <d v="2025-06-18T00:00:00"/>
    <x v="0"/>
    <x v="5"/>
    <n v="4867"/>
    <n v="13"/>
    <n v="42"/>
    <n v="103"/>
    <n v="425.71"/>
    <n v="0"/>
    <s v="Female"/>
    <x v="0"/>
    <x v="0"/>
    <x v="1"/>
  </r>
  <r>
    <d v="2025-06-19T00:00:00"/>
    <x v="0"/>
    <x v="5"/>
    <n v="4487"/>
    <n v="26"/>
    <n v="43"/>
    <n v="163"/>
    <n v="1572.27"/>
    <n v="0"/>
    <s v="Female"/>
    <x v="0"/>
    <x v="2"/>
    <x v="1"/>
  </r>
  <r>
    <d v="2025-06-20T00:00:00"/>
    <x v="0"/>
    <x v="5"/>
    <n v="2611"/>
    <n v="35"/>
    <n v="-5"/>
    <n v="180"/>
    <n v="620.41"/>
    <n v="0"/>
    <s v="Female"/>
    <x v="0"/>
    <x v="0"/>
    <x v="1"/>
  </r>
  <r>
    <d v="2025-06-21T00:00:00"/>
    <x v="0"/>
    <x v="5"/>
    <n v="1323"/>
    <n v="7"/>
    <n v="14"/>
    <n v="37"/>
    <n v="926.39"/>
    <n v="0"/>
    <s v="Female"/>
    <x v="3"/>
    <x v="1"/>
    <x v="1"/>
  </r>
  <r>
    <d v="2025-06-22T00:00:00"/>
    <x v="0"/>
    <x v="5"/>
    <n v="4819"/>
    <n v="3"/>
    <n v="27"/>
    <n v="31"/>
    <n v="427.36"/>
    <n v="0"/>
    <s v="Male"/>
    <x v="0"/>
    <x v="2"/>
    <x v="1"/>
  </r>
  <r>
    <d v="2025-06-23T00:00:00"/>
    <x v="0"/>
    <x v="5"/>
    <n v="3018"/>
    <n v="18"/>
    <n v="47"/>
    <n v="330"/>
    <n v="261.89"/>
    <n v="0"/>
    <s v="Male"/>
    <x v="1"/>
    <x v="0"/>
    <x v="1"/>
  </r>
  <r>
    <d v="2025-06-24T00:00:00"/>
    <x v="0"/>
    <x v="5"/>
    <n v="2420"/>
    <n v="38"/>
    <n v="3"/>
    <n v="218"/>
    <n v="1113.25"/>
    <n v="0"/>
    <s v="Male"/>
    <x v="1"/>
    <x v="2"/>
    <x v="1"/>
  </r>
  <r>
    <d v="2025-06-25T00:00:00"/>
    <x v="0"/>
    <x v="5"/>
    <n v="3616"/>
    <n v="42"/>
    <n v="14"/>
    <n v="266"/>
    <n v="1651.84"/>
    <n v="0"/>
    <s v="Male"/>
    <x v="0"/>
    <x v="3"/>
    <x v="1"/>
  </r>
  <r>
    <d v="2025-06-26T00:00:00"/>
    <x v="0"/>
    <x v="5"/>
    <n v="1072"/>
    <n v="40"/>
    <n v="46"/>
    <n v="49"/>
    <n v="1214.1199999999999"/>
    <n v="0"/>
    <s v="Female"/>
    <x v="1"/>
    <x v="0"/>
    <x v="1"/>
  </r>
  <r>
    <d v="2025-06-27T00:00:00"/>
    <x v="0"/>
    <x v="5"/>
    <n v="4661"/>
    <n v="24"/>
    <n v="26"/>
    <n v="220"/>
    <n v="375.75"/>
    <n v="0"/>
    <s v="Female"/>
    <x v="0"/>
    <x v="4"/>
    <x v="1"/>
  </r>
  <r>
    <d v="2025-06-28T00:00:00"/>
    <x v="0"/>
    <x v="5"/>
    <n v="3876"/>
    <n v="8"/>
    <n v="6"/>
    <n v="358"/>
    <n v="748.72"/>
    <n v="0"/>
    <s v="Male"/>
    <x v="1"/>
    <x v="0"/>
    <x v="1"/>
  </r>
  <r>
    <d v="2025-06-29T00:00:00"/>
    <x v="0"/>
    <x v="5"/>
    <n v="1514"/>
    <n v="6"/>
    <n v="34"/>
    <n v="270"/>
    <n v="1987.1"/>
    <n v="0"/>
    <s v="Male"/>
    <x v="2"/>
    <x v="3"/>
    <x v="1"/>
  </r>
  <r>
    <d v="2025-06-30T00:00:00"/>
    <x v="0"/>
    <x v="5"/>
    <n v="772"/>
    <n v="12"/>
    <n v="27"/>
    <n v="358"/>
    <n v="2016.07"/>
    <n v="0"/>
    <s v="Male"/>
    <x v="0"/>
    <x v="1"/>
    <x v="1"/>
  </r>
  <r>
    <d v="2025-07-01T00:00:00"/>
    <x v="0"/>
    <x v="6"/>
    <n v="2097"/>
    <n v="33"/>
    <n v="-3"/>
    <n v="208"/>
    <n v="1567.37"/>
    <n v="0"/>
    <s v="Female"/>
    <x v="0"/>
    <x v="1"/>
    <x v="1"/>
  </r>
  <r>
    <d v="2025-07-02T00:00:00"/>
    <x v="0"/>
    <x v="6"/>
    <n v="2681"/>
    <n v="26"/>
    <n v="4"/>
    <n v="99"/>
    <n v="2015.34"/>
    <n v="0"/>
    <s v="Male"/>
    <x v="0"/>
    <x v="1"/>
    <x v="1"/>
  </r>
  <r>
    <d v="2025-07-03T00:00:00"/>
    <x v="0"/>
    <x v="6"/>
    <n v="4500"/>
    <n v="38"/>
    <n v="41"/>
    <n v="52"/>
    <n v="811.88"/>
    <n v="0"/>
    <s v="Male"/>
    <x v="0"/>
    <x v="1"/>
    <x v="1"/>
  </r>
  <r>
    <d v="2025-07-04T00:00:00"/>
    <x v="0"/>
    <x v="6"/>
    <n v="3406"/>
    <n v="13"/>
    <n v="15"/>
    <n v="443"/>
    <n v="1424.17"/>
    <n v="0"/>
    <s v="Male"/>
    <x v="0"/>
    <x v="1"/>
    <x v="1"/>
  </r>
  <r>
    <d v="2025-07-05T00:00:00"/>
    <x v="0"/>
    <x v="6"/>
    <n v="2228"/>
    <n v="7"/>
    <n v="42"/>
    <n v="449"/>
    <n v="1967.7"/>
    <n v="55"/>
    <s v="Male"/>
    <x v="0"/>
    <x v="0"/>
    <x v="1"/>
  </r>
  <r>
    <d v="2025-07-06T00:00:00"/>
    <x v="0"/>
    <x v="6"/>
    <n v="1386"/>
    <n v="17"/>
    <n v="7"/>
    <n v="79"/>
    <n v="2435.7600000000002"/>
    <n v="0"/>
    <s v="Male"/>
    <x v="0"/>
    <x v="1"/>
    <x v="1"/>
  </r>
  <r>
    <d v="2025-07-07T00:00:00"/>
    <x v="0"/>
    <x v="6"/>
    <n v="4647"/>
    <n v="39"/>
    <n v="7"/>
    <n v="73"/>
    <n v="1549.04"/>
    <n v="0"/>
    <s v="Female"/>
    <x v="1"/>
    <x v="0"/>
    <x v="1"/>
  </r>
  <r>
    <d v="2025-07-08T00:00:00"/>
    <x v="0"/>
    <x v="6"/>
    <n v="962"/>
    <n v="29"/>
    <n v="-1"/>
    <n v="58"/>
    <n v="594.55999999999995"/>
    <n v="0"/>
    <s v="Female"/>
    <x v="0"/>
    <x v="1"/>
    <x v="1"/>
  </r>
  <r>
    <d v="2025-07-09T00:00:00"/>
    <x v="0"/>
    <x v="6"/>
    <n v="795"/>
    <n v="43"/>
    <n v="15"/>
    <n v="217"/>
    <n v="2288.5700000000002"/>
    <n v="0"/>
    <s v="Female"/>
    <x v="0"/>
    <x v="1"/>
    <x v="1"/>
  </r>
  <r>
    <d v="2025-07-10T00:00:00"/>
    <x v="0"/>
    <x v="6"/>
    <n v="1211"/>
    <n v="32"/>
    <n v="18"/>
    <n v="382"/>
    <n v="653.09"/>
    <n v="0"/>
    <s v="Female"/>
    <x v="0"/>
    <x v="2"/>
    <x v="1"/>
  </r>
  <r>
    <d v="2025-07-11T00:00:00"/>
    <x v="0"/>
    <x v="6"/>
    <n v="4796"/>
    <n v="4"/>
    <n v="49"/>
    <n v="222"/>
    <n v="1543.05"/>
    <n v="55"/>
    <s v="Male"/>
    <x v="2"/>
    <x v="0"/>
    <x v="1"/>
  </r>
  <r>
    <d v="2025-07-12T00:00:00"/>
    <x v="0"/>
    <x v="6"/>
    <n v="2675"/>
    <n v="34"/>
    <n v="18"/>
    <n v="374"/>
    <n v="1992.62"/>
    <n v="0"/>
    <s v="Female"/>
    <x v="0"/>
    <x v="1"/>
    <x v="1"/>
  </r>
  <r>
    <d v="2025-07-13T00:00:00"/>
    <x v="0"/>
    <x v="6"/>
    <n v="3534"/>
    <n v="44"/>
    <n v="31"/>
    <n v="194"/>
    <n v="2368.87"/>
    <n v="0"/>
    <s v="Female"/>
    <x v="1"/>
    <x v="1"/>
    <x v="1"/>
  </r>
  <r>
    <d v="2025-07-14T00:00:00"/>
    <x v="0"/>
    <x v="6"/>
    <n v="4942"/>
    <n v="31"/>
    <n v="24"/>
    <n v="232"/>
    <n v="2298.52"/>
    <n v="0"/>
    <s v="Male"/>
    <x v="0"/>
    <x v="0"/>
    <x v="1"/>
  </r>
  <r>
    <d v="2025-07-15T00:00:00"/>
    <x v="0"/>
    <x v="6"/>
    <n v="1575"/>
    <n v="20"/>
    <n v="37"/>
    <n v="71"/>
    <n v="762.58"/>
    <n v="0"/>
    <s v="Male"/>
    <x v="0"/>
    <x v="1"/>
    <x v="1"/>
  </r>
  <r>
    <d v="2025-07-16T00:00:00"/>
    <x v="0"/>
    <x v="6"/>
    <n v="4287"/>
    <n v="40"/>
    <n v="0"/>
    <n v="60"/>
    <n v="1078.19"/>
    <n v="0"/>
    <s v="Male"/>
    <x v="1"/>
    <x v="2"/>
    <x v="1"/>
  </r>
  <r>
    <d v="2025-07-17T00:00:00"/>
    <x v="0"/>
    <x v="6"/>
    <n v="2614"/>
    <n v="34"/>
    <n v="35"/>
    <n v="89"/>
    <n v="1111.24"/>
    <n v="0"/>
    <s v="Female"/>
    <x v="2"/>
    <x v="2"/>
    <x v="1"/>
  </r>
  <r>
    <d v="2025-07-18T00:00:00"/>
    <x v="0"/>
    <x v="6"/>
    <n v="2828"/>
    <n v="33"/>
    <n v="2"/>
    <n v="395"/>
    <n v="353.89"/>
    <n v="0"/>
    <s v="Male"/>
    <x v="0"/>
    <x v="2"/>
    <x v="1"/>
  </r>
  <r>
    <d v="2025-07-19T00:00:00"/>
    <x v="0"/>
    <x v="6"/>
    <n v="2257"/>
    <n v="13"/>
    <n v="29"/>
    <n v="371"/>
    <n v="689.53"/>
    <n v="0"/>
    <s v="Female"/>
    <x v="0"/>
    <x v="1"/>
    <x v="1"/>
  </r>
  <r>
    <d v="2025-07-20T00:00:00"/>
    <x v="0"/>
    <x v="6"/>
    <n v="995"/>
    <n v="20"/>
    <n v="28"/>
    <n v="65"/>
    <n v="2007.41"/>
    <n v="0"/>
    <s v="Male"/>
    <x v="0"/>
    <x v="2"/>
    <x v="2"/>
  </r>
  <r>
    <d v="2025-07-21T00:00:00"/>
    <x v="0"/>
    <x v="6"/>
    <n v="2681"/>
    <n v="19"/>
    <n v="46"/>
    <n v="214"/>
    <n v="2004.27"/>
    <n v="0"/>
    <s v="Male"/>
    <x v="1"/>
    <x v="4"/>
    <x v="2"/>
  </r>
  <r>
    <d v="2025-07-22T00:00:00"/>
    <x v="0"/>
    <x v="6"/>
    <n v="2434"/>
    <n v="16"/>
    <n v="40"/>
    <n v="307"/>
    <n v="324.2"/>
    <n v="0"/>
    <s v="Male"/>
    <x v="0"/>
    <x v="2"/>
    <x v="2"/>
  </r>
  <r>
    <d v="2025-07-23T00:00:00"/>
    <x v="0"/>
    <x v="6"/>
    <n v="1171"/>
    <n v="44"/>
    <n v="5"/>
    <n v="77"/>
    <n v="1535.02"/>
    <n v="55"/>
    <s v="Male"/>
    <x v="0"/>
    <x v="4"/>
    <x v="2"/>
  </r>
  <r>
    <d v="2025-07-24T00:00:00"/>
    <x v="0"/>
    <x v="6"/>
    <n v="2404"/>
    <n v="6"/>
    <n v="2"/>
    <n v="278"/>
    <n v="332.53"/>
    <n v="55"/>
    <s v="Male"/>
    <x v="3"/>
    <x v="0"/>
    <x v="2"/>
  </r>
  <r>
    <d v="2025-07-25T00:00:00"/>
    <x v="0"/>
    <x v="6"/>
    <n v="2748"/>
    <n v="40"/>
    <n v="43"/>
    <n v="265"/>
    <n v="1000.74"/>
    <n v="0"/>
    <s v="Female"/>
    <x v="1"/>
    <x v="4"/>
    <x v="2"/>
  </r>
  <r>
    <d v="2025-07-26T00:00:00"/>
    <x v="0"/>
    <x v="6"/>
    <n v="1056"/>
    <n v="20"/>
    <n v="28"/>
    <n v="53"/>
    <n v="883.01"/>
    <n v="0"/>
    <s v="Male"/>
    <x v="0"/>
    <x v="2"/>
    <x v="2"/>
  </r>
  <r>
    <d v="2025-07-27T00:00:00"/>
    <x v="0"/>
    <x v="6"/>
    <n v="4965"/>
    <n v="9"/>
    <n v="4"/>
    <n v="382"/>
    <n v="2465.5"/>
    <n v="0"/>
    <s v="Male"/>
    <x v="0"/>
    <x v="3"/>
    <x v="2"/>
  </r>
  <r>
    <d v="2025-07-28T00:00:00"/>
    <x v="0"/>
    <x v="6"/>
    <n v="2784"/>
    <n v="27"/>
    <n v="11"/>
    <n v="82"/>
    <n v="549.61"/>
    <n v="0"/>
    <s v="Male"/>
    <x v="0"/>
    <x v="1"/>
    <x v="2"/>
  </r>
  <r>
    <d v="2025-07-29T00:00:00"/>
    <x v="0"/>
    <x v="6"/>
    <n v="2504"/>
    <n v="24"/>
    <n v="11"/>
    <n v="259"/>
    <n v="1594.89"/>
    <n v="0"/>
    <s v="Male"/>
    <x v="2"/>
    <x v="5"/>
    <x v="2"/>
  </r>
  <r>
    <d v="2025-07-30T00:00:00"/>
    <x v="0"/>
    <x v="6"/>
    <n v="4558"/>
    <n v="6"/>
    <n v="48"/>
    <n v="322"/>
    <n v="2370.3200000000002"/>
    <n v="0"/>
    <s v="Male"/>
    <x v="1"/>
    <x v="2"/>
    <x v="2"/>
  </r>
  <r>
    <d v="2025-07-31T00:00:00"/>
    <x v="0"/>
    <x v="6"/>
    <n v="3574"/>
    <n v="38"/>
    <n v="1"/>
    <n v="96"/>
    <n v="2224.75"/>
    <n v="0"/>
    <s v="Female"/>
    <x v="1"/>
    <x v="2"/>
    <x v="2"/>
  </r>
  <r>
    <d v="2025-08-01T00:00:00"/>
    <x v="0"/>
    <x v="7"/>
    <n v="1317"/>
    <n v="29"/>
    <n v="6"/>
    <n v="35"/>
    <n v="990.5"/>
    <n v="0"/>
    <s v="Male"/>
    <x v="0"/>
    <x v="1"/>
    <x v="2"/>
  </r>
  <r>
    <d v="2025-08-02T00:00:00"/>
    <x v="0"/>
    <x v="7"/>
    <n v="4297"/>
    <n v="41"/>
    <n v="39"/>
    <n v="33"/>
    <n v="991.13"/>
    <n v="0"/>
    <s v="Female"/>
    <x v="0"/>
    <x v="5"/>
    <x v="2"/>
  </r>
  <r>
    <d v="2025-08-03T00:00:00"/>
    <x v="0"/>
    <x v="7"/>
    <n v="3183"/>
    <n v="33"/>
    <n v="17"/>
    <n v="61"/>
    <n v="1421.68"/>
    <n v="0"/>
    <s v="Male"/>
    <x v="0"/>
    <x v="0"/>
    <x v="2"/>
  </r>
  <r>
    <d v="2025-08-04T00:00:00"/>
    <x v="0"/>
    <x v="7"/>
    <n v="1944"/>
    <n v="9"/>
    <n v="15"/>
    <n v="75"/>
    <n v="554.15"/>
    <n v="0"/>
    <s v="Female"/>
    <x v="0"/>
    <x v="0"/>
    <x v="2"/>
  </r>
  <r>
    <d v="2025-08-05T00:00:00"/>
    <x v="0"/>
    <x v="7"/>
    <n v="529"/>
    <n v="33"/>
    <n v="39"/>
    <n v="21"/>
    <n v="798.55"/>
    <n v="0"/>
    <s v="Male"/>
    <x v="3"/>
    <x v="3"/>
    <x v="2"/>
  </r>
  <r>
    <d v="2025-08-06T00:00:00"/>
    <x v="0"/>
    <x v="7"/>
    <n v="4122"/>
    <n v="13"/>
    <n v="14"/>
    <n v="277"/>
    <n v="1033.19"/>
    <n v="0"/>
    <s v="Male"/>
    <x v="2"/>
    <x v="1"/>
    <x v="2"/>
  </r>
  <r>
    <d v="2025-08-07T00:00:00"/>
    <x v="0"/>
    <x v="7"/>
    <n v="4094"/>
    <n v="3"/>
    <n v="42"/>
    <n v="261"/>
    <n v="1492.19"/>
    <n v="0"/>
    <s v="Male"/>
    <x v="1"/>
    <x v="4"/>
    <x v="2"/>
  </r>
  <r>
    <d v="2025-08-08T00:00:00"/>
    <x v="0"/>
    <x v="7"/>
    <n v="4297"/>
    <n v="30"/>
    <n v="24"/>
    <n v="42"/>
    <n v="2464.4499999999998"/>
    <n v="0"/>
    <s v="Male"/>
    <x v="0"/>
    <x v="1"/>
    <x v="2"/>
  </r>
  <r>
    <d v="2025-08-09T00:00:00"/>
    <x v="0"/>
    <x v="7"/>
    <n v="624"/>
    <n v="27"/>
    <n v="40"/>
    <n v="230"/>
    <n v="1933.03"/>
    <n v="0"/>
    <s v="Female"/>
    <x v="1"/>
    <x v="0"/>
    <x v="2"/>
  </r>
  <r>
    <d v="2025-08-10T00:00:00"/>
    <x v="0"/>
    <x v="7"/>
    <n v="4592"/>
    <n v="7"/>
    <n v="18"/>
    <n v="267"/>
    <n v="1345.72"/>
    <n v="0"/>
    <s v="Male"/>
    <x v="0"/>
    <x v="0"/>
    <x v="2"/>
  </r>
  <r>
    <d v="2025-08-11T00:00:00"/>
    <x v="0"/>
    <x v="7"/>
    <n v="2873"/>
    <n v="21"/>
    <n v="42"/>
    <n v="388"/>
    <n v="861.37"/>
    <n v="0"/>
    <s v="Male"/>
    <x v="1"/>
    <x v="2"/>
    <x v="2"/>
  </r>
  <r>
    <d v="2025-08-12T00:00:00"/>
    <x v="0"/>
    <x v="7"/>
    <n v="2186"/>
    <n v="3"/>
    <n v="42"/>
    <n v="346"/>
    <n v="1092.08"/>
    <n v="55"/>
    <s v="Female"/>
    <x v="3"/>
    <x v="5"/>
    <x v="2"/>
  </r>
  <r>
    <d v="2025-08-13T00:00:00"/>
    <x v="0"/>
    <x v="7"/>
    <n v="2154"/>
    <n v="9"/>
    <n v="8"/>
    <n v="295"/>
    <n v="1684.46"/>
    <n v="0"/>
    <s v="Female"/>
    <x v="0"/>
    <x v="2"/>
    <x v="2"/>
  </r>
  <r>
    <d v="2025-08-14T00:00:00"/>
    <x v="0"/>
    <x v="7"/>
    <n v="2487"/>
    <n v="21"/>
    <n v="15"/>
    <n v="204"/>
    <n v="1947.52"/>
    <n v="0"/>
    <s v="Male"/>
    <x v="0"/>
    <x v="3"/>
    <x v="2"/>
  </r>
  <r>
    <d v="2025-08-15T00:00:00"/>
    <x v="0"/>
    <x v="7"/>
    <n v="2652"/>
    <n v="9"/>
    <n v="39"/>
    <n v="407"/>
    <n v="1823.09"/>
    <n v="0"/>
    <s v="Female"/>
    <x v="1"/>
    <x v="2"/>
    <x v="2"/>
  </r>
  <r>
    <d v="2025-08-16T00:00:00"/>
    <x v="0"/>
    <x v="7"/>
    <n v="2058"/>
    <n v="44"/>
    <n v="24"/>
    <n v="144"/>
    <n v="1520.75"/>
    <n v="0"/>
    <s v="Female"/>
    <x v="1"/>
    <x v="1"/>
    <x v="2"/>
  </r>
  <r>
    <d v="2025-08-17T00:00:00"/>
    <x v="0"/>
    <x v="7"/>
    <n v="3553"/>
    <n v="10"/>
    <n v="19"/>
    <n v="279"/>
    <n v="1658.77"/>
    <n v="0"/>
    <s v="Female"/>
    <x v="0"/>
    <x v="1"/>
    <x v="2"/>
  </r>
  <r>
    <d v="2025-08-18T00:00:00"/>
    <x v="0"/>
    <x v="7"/>
    <n v="1129"/>
    <n v="8"/>
    <n v="41"/>
    <n v="231"/>
    <n v="1676.51"/>
    <n v="0"/>
    <s v="Female"/>
    <x v="0"/>
    <x v="0"/>
    <x v="2"/>
  </r>
  <r>
    <d v="2025-08-19T00:00:00"/>
    <x v="0"/>
    <x v="7"/>
    <n v="1172"/>
    <n v="39"/>
    <n v="22"/>
    <n v="388"/>
    <n v="490.71"/>
    <n v="0"/>
    <s v="Male"/>
    <x v="1"/>
    <x v="2"/>
    <x v="2"/>
  </r>
  <r>
    <d v="2025-08-20T00:00:00"/>
    <x v="0"/>
    <x v="7"/>
    <n v="920"/>
    <n v="42"/>
    <n v="11"/>
    <n v="135"/>
    <n v="692.58"/>
    <n v="0"/>
    <s v="Male"/>
    <x v="1"/>
    <x v="2"/>
    <x v="2"/>
  </r>
  <r>
    <d v="2025-08-21T00:00:00"/>
    <x v="0"/>
    <x v="7"/>
    <n v="2451"/>
    <n v="25"/>
    <n v="43"/>
    <n v="171"/>
    <n v="8"/>
    <n v="0"/>
    <s v="Male"/>
    <x v="0"/>
    <x v="2"/>
    <x v="2"/>
  </r>
  <r>
    <d v="2025-08-22T00:00:00"/>
    <x v="0"/>
    <x v="7"/>
    <n v="2803"/>
    <n v="26"/>
    <n v="25"/>
    <n v="145"/>
    <n v="1128.8"/>
    <n v="0"/>
    <s v="Male"/>
    <x v="1"/>
    <x v="0"/>
    <x v="2"/>
  </r>
  <r>
    <d v="2025-08-23T00:00:00"/>
    <x v="0"/>
    <x v="7"/>
    <n v="3450"/>
    <n v="3"/>
    <n v="-4"/>
    <n v="314"/>
    <n v="1128.75"/>
    <n v="0"/>
    <s v="Female"/>
    <x v="0"/>
    <x v="3"/>
    <x v="2"/>
  </r>
  <r>
    <d v="2025-08-24T00:00:00"/>
    <x v="0"/>
    <x v="7"/>
    <n v="2029"/>
    <n v="37"/>
    <n v="46"/>
    <n v="390"/>
    <n v="1213.3399999999999"/>
    <n v="0"/>
    <s v="Male"/>
    <x v="3"/>
    <x v="0"/>
    <x v="2"/>
  </r>
  <r>
    <d v="2025-08-25T00:00:00"/>
    <x v="0"/>
    <x v="7"/>
    <n v="4654"/>
    <n v="27"/>
    <n v="39"/>
    <n v="360"/>
    <n v="1773.79"/>
    <n v="0"/>
    <s v="Female"/>
    <x v="0"/>
    <x v="0"/>
    <x v="2"/>
  </r>
  <r>
    <d v="2025-08-26T00:00:00"/>
    <x v="0"/>
    <x v="7"/>
    <n v="1002"/>
    <n v="42"/>
    <n v="27"/>
    <n v="386"/>
    <n v="503.89"/>
    <n v="0"/>
    <s v="Female"/>
    <x v="0"/>
    <x v="5"/>
    <x v="2"/>
  </r>
  <r>
    <d v="2025-08-27T00:00:00"/>
    <x v="0"/>
    <x v="7"/>
    <n v="911"/>
    <n v="7"/>
    <n v="28"/>
    <n v="268"/>
    <n v="1909.05"/>
    <n v="0"/>
    <s v="Male"/>
    <x v="3"/>
    <x v="0"/>
    <x v="2"/>
  </r>
  <r>
    <d v="2025-08-28T00:00:00"/>
    <x v="0"/>
    <x v="7"/>
    <n v="4565"/>
    <n v="7"/>
    <n v="32"/>
    <n v="443"/>
    <n v="1882.39"/>
    <n v="0"/>
    <s v="Female"/>
    <x v="0"/>
    <x v="2"/>
    <x v="2"/>
  </r>
  <r>
    <d v="2025-08-29T00:00:00"/>
    <x v="0"/>
    <x v="7"/>
    <n v="2392"/>
    <n v="10"/>
    <n v="50"/>
    <n v="223"/>
    <n v="2131.1999999999998"/>
    <n v="0"/>
    <s v="Female"/>
    <x v="2"/>
    <x v="0"/>
    <x v="2"/>
  </r>
  <r>
    <d v="2025-08-30T00:00:00"/>
    <x v="0"/>
    <x v="7"/>
    <n v="3903"/>
    <n v="41"/>
    <n v="43"/>
    <n v="122"/>
    <n v="2418"/>
    <n v="0"/>
    <s v="Male"/>
    <x v="0"/>
    <x v="3"/>
    <x v="2"/>
  </r>
  <r>
    <d v="2025-08-31T00:00:00"/>
    <x v="0"/>
    <x v="7"/>
    <n v="3814"/>
    <n v="9"/>
    <n v="5"/>
    <n v="375"/>
    <n v="1352.24"/>
    <n v="0"/>
    <s v="Male"/>
    <x v="1"/>
    <x v="4"/>
    <x v="2"/>
  </r>
  <r>
    <d v="2025-09-01T00:00:00"/>
    <x v="0"/>
    <x v="8"/>
    <n v="705"/>
    <n v="41"/>
    <n v="24"/>
    <n v="395"/>
    <n v="973.54"/>
    <n v="0"/>
    <s v="Female"/>
    <x v="3"/>
    <x v="2"/>
    <x v="2"/>
  </r>
  <r>
    <d v="2025-09-02T00:00:00"/>
    <x v="0"/>
    <x v="8"/>
    <n v="1296"/>
    <n v="36"/>
    <n v="43"/>
    <n v="28"/>
    <n v="1940.16"/>
    <n v="0"/>
    <s v="Female"/>
    <x v="1"/>
    <x v="2"/>
    <x v="2"/>
  </r>
  <r>
    <d v="2025-09-03T00:00:00"/>
    <x v="0"/>
    <x v="8"/>
    <n v="744"/>
    <n v="23"/>
    <n v="5"/>
    <n v="294"/>
    <n v="289.72000000000003"/>
    <n v="0"/>
    <s v="Female"/>
    <x v="0"/>
    <x v="4"/>
    <x v="3"/>
  </r>
  <r>
    <d v="2025-09-04T00:00:00"/>
    <x v="0"/>
    <x v="8"/>
    <n v="2502"/>
    <n v="24"/>
    <n v="3"/>
    <n v="173"/>
    <n v="796.26"/>
    <n v="0"/>
    <s v="Female"/>
    <x v="0"/>
    <x v="0"/>
    <x v="3"/>
  </r>
  <r>
    <d v="2025-09-05T00:00:00"/>
    <x v="0"/>
    <x v="8"/>
    <n v="1400"/>
    <n v="20"/>
    <n v="1"/>
    <n v="254"/>
    <n v="2072.15"/>
    <n v="0"/>
    <s v="Male"/>
    <x v="1"/>
    <x v="5"/>
    <x v="3"/>
  </r>
  <r>
    <d v="2025-09-06T00:00:00"/>
    <x v="0"/>
    <x v="8"/>
    <n v="1678"/>
    <n v="27"/>
    <n v="11"/>
    <n v="299"/>
    <n v="915.73"/>
    <n v="0"/>
    <s v="Female"/>
    <x v="0"/>
    <x v="1"/>
    <x v="3"/>
  </r>
  <r>
    <d v="2025-09-07T00:00:00"/>
    <x v="0"/>
    <x v="8"/>
    <n v="2919"/>
    <n v="13"/>
    <n v="26"/>
    <n v="167"/>
    <n v="672.93"/>
    <n v="0"/>
    <s v="Male"/>
    <x v="3"/>
    <x v="0"/>
    <x v="3"/>
  </r>
  <r>
    <d v="2025-09-08T00:00:00"/>
    <x v="0"/>
    <x v="8"/>
    <n v="1704"/>
    <n v="17"/>
    <n v="27"/>
    <n v="124"/>
    <n v="1414.67"/>
    <n v="0"/>
    <s v="Female"/>
    <x v="0"/>
    <x v="1"/>
    <x v="3"/>
  </r>
  <r>
    <d v="2025-09-09T00:00:00"/>
    <x v="0"/>
    <x v="8"/>
    <n v="3083"/>
    <n v="34"/>
    <n v="43"/>
    <n v="108"/>
    <n v="698.19"/>
    <n v="0"/>
    <s v="Male"/>
    <x v="0"/>
    <x v="1"/>
    <x v="3"/>
  </r>
  <r>
    <d v="2025-09-10T00:00:00"/>
    <x v="0"/>
    <x v="8"/>
    <n v="706"/>
    <n v="6"/>
    <n v="37"/>
    <n v="447"/>
    <n v="1460.23"/>
    <n v="0"/>
    <s v="Male"/>
    <x v="0"/>
    <x v="5"/>
    <x v="3"/>
  </r>
  <r>
    <d v="2025-09-11T00:00:00"/>
    <x v="0"/>
    <x v="8"/>
    <n v="646"/>
    <n v="9"/>
    <n v="26"/>
    <n v="219"/>
    <n v="74.430000000000007"/>
    <n v="0"/>
    <s v="Male"/>
    <x v="0"/>
    <x v="2"/>
    <x v="3"/>
  </r>
  <r>
    <d v="2025-09-12T00:00:00"/>
    <x v="0"/>
    <x v="8"/>
    <n v="1084"/>
    <n v="34"/>
    <n v="2"/>
    <n v="72"/>
    <n v="1459.64"/>
    <n v="0"/>
    <s v="Male"/>
    <x v="1"/>
    <x v="0"/>
    <x v="3"/>
  </r>
  <r>
    <d v="2025-09-13T00:00:00"/>
    <x v="0"/>
    <x v="8"/>
    <n v="3175"/>
    <n v="35"/>
    <n v="12"/>
    <n v="147"/>
    <n v="555.87"/>
    <n v="0"/>
    <s v="Male"/>
    <x v="0"/>
    <x v="0"/>
    <x v="3"/>
  </r>
  <r>
    <d v="2025-09-14T00:00:00"/>
    <x v="0"/>
    <x v="8"/>
    <n v="3475"/>
    <n v="6"/>
    <n v="38"/>
    <n v="396"/>
    <n v="150.94999999999999"/>
    <n v="0"/>
    <s v="Female"/>
    <x v="2"/>
    <x v="0"/>
    <x v="3"/>
  </r>
  <r>
    <d v="2025-09-15T00:00:00"/>
    <x v="0"/>
    <x v="8"/>
    <n v="2787"/>
    <n v="39"/>
    <n v="-4"/>
    <n v="257"/>
    <n v="1519.76"/>
    <n v="0"/>
    <s v="Female"/>
    <x v="0"/>
    <x v="1"/>
    <x v="3"/>
  </r>
  <r>
    <d v="2025-09-16T00:00:00"/>
    <x v="0"/>
    <x v="8"/>
    <n v="1376"/>
    <n v="8"/>
    <n v="0"/>
    <n v="326"/>
    <n v="1284.79"/>
    <n v="0"/>
    <s v="Male"/>
    <x v="1"/>
    <x v="2"/>
    <x v="3"/>
  </r>
  <r>
    <d v="2025-09-17T00:00:00"/>
    <x v="0"/>
    <x v="8"/>
    <n v="3745"/>
    <n v="8"/>
    <n v="25"/>
    <n v="392"/>
    <n v="1215.96"/>
    <n v="0"/>
    <s v="Male"/>
    <x v="3"/>
    <x v="0"/>
    <x v="3"/>
  </r>
  <r>
    <d v="2025-09-18T00:00:00"/>
    <x v="0"/>
    <x v="8"/>
    <n v="4266"/>
    <n v="12"/>
    <n v="16"/>
    <n v="62"/>
    <n v="1206.03"/>
    <n v="0"/>
    <s v="Male"/>
    <x v="3"/>
    <x v="1"/>
    <x v="3"/>
  </r>
  <r>
    <d v="2025-09-19T00:00:00"/>
    <x v="0"/>
    <x v="8"/>
    <n v="1236"/>
    <n v="35"/>
    <n v="50"/>
    <n v="406"/>
    <n v="947.45"/>
    <n v="0"/>
    <s v="Male"/>
    <x v="2"/>
    <x v="4"/>
    <x v="3"/>
  </r>
  <r>
    <d v="2025-09-20T00:00:00"/>
    <x v="0"/>
    <x v="8"/>
    <n v="3935"/>
    <n v="25"/>
    <n v="-3"/>
    <n v="275"/>
    <n v="1974.41"/>
    <n v="0"/>
    <s v="Female"/>
    <x v="0"/>
    <x v="5"/>
    <x v="3"/>
  </r>
  <r>
    <d v="2025-09-21T00:00:00"/>
    <x v="0"/>
    <x v="8"/>
    <n v="2034"/>
    <n v="5"/>
    <n v="38"/>
    <n v="167"/>
    <n v="1384"/>
    <n v="0"/>
    <s v="Male"/>
    <x v="1"/>
    <x v="0"/>
    <x v="3"/>
  </r>
  <r>
    <d v="2025-09-22T00:00:00"/>
    <x v="0"/>
    <x v="8"/>
    <n v="3902"/>
    <n v="37"/>
    <n v="28"/>
    <n v="45"/>
    <n v="334.75"/>
    <n v="0"/>
    <s v="Male"/>
    <x v="0"/>
    <x v="0"/>
    <x v="3"/>
  </r>
  <r>
    <d v="2025-09-23T00:00:00"/>
    <x v="0"/>
    <x v="8"/>
    <n v="3550"/>
    <n v="5"/>
    <n v="13"/>
    <n v="82"/>
    <n v="1312.21"/>
    <n v="0"/>
    <s v="Male"/>
    <x v="0"/>
    <x v="2"/>
    <x v="3"/>
  </r>
  <r>
    <d v="2025-09-24T00:00:00"/>
    <x v="0"/>
    <x v="8"/>
    <n v="1747"/>
    <n v="36"/>
    <n v="48"/>
    <n v="219"/>
    <n v="2018.79"/>
    <n v="0"/>
    <s v="Female"/>
    <x v="0"/>
    <x v="0"/>
    <x v="3"/>
  </r>
  <r>
    <d v="2025-09-25T00:00:00"/>
    <x v="0"/>
    <x v="8"/>
    <n v="3709"/>
    <n v="18"/>
    <n v="9"/>
    <n v="322"/>
    <n v="964.17"/>
    <n v="0"/>
    <s v="Male"/>
    <x v="0"/>
    <x v="2"/>
    <x v="3"/>
  </r>
  <r>
    <d v="2025-09-26T00:00:00"/>
    <x v="0"/>
    <x v="8"/>
    <n v="4399"/>
    <n v="10"/>
    <n v="10"/>
    <n v="422"/>
    <n v="2409.69"/>
    <n v="0"/>
    <s v="Male"/>
    <x v="0"/>
    <x v="0"/>
    <x v="3"/>
  </r>
  <r>
    <d v="2025-09-27T00:00:00"/>
    <x v="0"/>
    <x v="8"/>
    <n v="3954"/>
    <n v="15"/>
    <n v="22"/>
    <n v="194"/>
    <n v="1869.83"/>
    <n v="0"/>
    <s v="Female"/>
    <x v="0"/>
    <x v="5"/>
    <x v="3"/>
  </r>
  <r>
    <d v="2025-09-28T00:00:00"/>
    <x v="0"/>
    <x v="8"/>
    <n v="552"/>
    <n v="16"/>
    <n v="-2"/>
    <n v="262"/>
    <n v="1206.1400000000001"/>
    <n v="0"/>
    <s v="Male"/>
    <x v="0"/>
    <x v="5"/>
    <x v="3"/>
  </r>
  <r>
    <d v="2025-09-29T00:00:00"/>
    <x v="0"/>
    <x v="8"/>
    <n v="4719"/>
    <n v="33"/>
    <n v="12"/>
    <n v="127"/>
    <n v="1241.55"/>
    <n v="0"/>
    <s v="Female"/>
    <x v="1"/>
    <x v="0"/>
    <x v="3"/>
  </r>
  <r>
    <d v="2025-09-30T00:00:00"/>
    <x v="0"/>
    <x v="8"/>
    <n v="4154"/>
    <n v="44"/>
    <n v="-5"/>
    <n v="399"/>
    <n v="1922.51"/>
    <n v="0"/>
    <s v="Male"/>
    <x v="0"/>
    <x v="0"/>
    <x v="3"/>
  </r>
  <r>
    <d v="2025-10-01T00:00:00"/>
    <x v="0"/>
    <x v="9"/>
    <n v="1129"/>
    <n v="23"/>
    <n v="34"/>
    <n v="166"/>
    <n v="2329.19"/>
    <n v="0"/>
    <s v="Male"/>
    <x v="0"/>
    <x v="2"/>
    <x v="3"/>
  </r>
  <r>
    <d v="2025-10-02T00:00:00"/>
    <x v="0"/>
    <x v="9"/>
    <n v="1906"/>
    <n v="40"/>
    <n v="24"/>
    <n v="174"/>
    <n v="744.03"/>
    <n v="0"/>
    <s v="Female"/>
    <x v="0"/>
    <x v="2"/>
    <x v="3"/>
  </r>
  <r>
    <d v="2025-10-03T00:00:00"/>
    <x v="0"/>
    <x v="9"/>
    <n v="3540"/>
    <n v="42"/>
    <n v="19"/>
    <n v="70"/>
    <n v="586.96"/>
    <n v="0"/>
    <s v="Male"/>
    <x v="0"/>
    <x v="4"/>
    <x v="3"/>
  </r>
  <r>
    <d v="2025-10-04T00:00:00"/>
    <x v="0"/>
    <x v="9"/>
    <n v="4994"/>
    <n v="6"/>
    <n v="3"/>
    <n v="146"/>
    <n v="681.4"/>
    <n v="0"/>
    <s v="Male"/>
    <x v="0"/>
    <x v="2"/>
    <x v="3"/>
  </r>
  <r>
    <d v="2025-10-05T00:00:00"/>
    <x v="0"/>
    <x v="9"/>
    <n v="756"/>
    <n v="41"/>
    <n v="34"/>
    <n v="390"/>
    <n v="1356.42"/>
    <n v="0"/>
    <s v="Male"/>
    <x v="0"/>
    <x v="0"/>
    <x v="3"/>
  </r>
  <r>
    <d v="2025-10-06T00:00:00"/>
    <x v="0"/>
    <x v="9"/>
    <n v="2118"/>
    <n v="32"/>
    <n v="6"/>
    <n v="52"/>
    <n v="1293.47"/>
    <n v="0"/>
    <s v="Male"/>
    <x v="3"/>
    <x v="0"/>
    <x v="3"/>
  </r>
  <r>
    <d v="2025-10-07T00:00:00"/>
    <x v="0"/>
    <x v="9"/>
    <n v="4875"/>
    <n v="25"/>
    <n v="10"/>
    <n v="443"/>
    <n v="967.26"/>
    <n v="0"/>
    <s v="Male"/>
    <x v="1"/>
    <x v="2"/>
    <x v="3"/>
  </r>
  <r>
    <d v="2025-10-08T00:00:00"/>
    <x v="0"/>
    <x v="9"/>
    <n v="3643"/>
    <n v="39"/>
    <n v="9"/>
    <n v="88"/>
    <n v="1786.27"/>
    <n v="0"/>
    <s v="Female"/>
    <x v="1"/>
    <x v="4"/>
    <x v="3"/>
  </r>
  <r>
    <d v="2025-10-09T00:00:00"/>
    <x v="0"/>
    <x v="9"/>
    <n v="2615"/>
    <n v="19"/>
    <n v="22"/>
    <n v="209"/>
    <n v="1747.24"/>
    <n v="0"/>
    <s v="Male"/>
    <x v="0"/>
    <x v="0"/>
    <x v="3"/>
  </r>
  <r>
    <d v="2025-10-10T00:00:00"/>
    <x v="0"/>
    <x v="9"/>
    <n v="1379"/>
    <n v="42"/>
    <n v="30"/>
    <n v="106"/>
    <n v="2097.5500000000002"/>
    <n v="0"/>
    <s v="Male"/>
    <x v="0"/>
    <x v="0"/>
    <x v="3"/>
  </r>
  <r>
    <d v="2025-10-11T00:00:00"/>
    <x v="0"/>
    <x v="9"/>
    <n v="970"/>
    <n v="27"/>
    <n v="20"/>
    <n v="151"/>
    <n v="726.91"/>
    <n v="0"/>
    <s v="Male"/>
    <x v="1"/>
    <x v="2"/>
    <x v="3"/>
  </r>
  <r>
    <d v="2025-10-12T00:00:00"/>
    <x v="0"/>
    <x v="9"/>
    <n v="3605"/>
    <n v="32"/>
    <n v="25"/>
    <n v="134"/>
    <n v="393.3"/>
    <n v="0"/>
    <s v="Male"/>
    <x v="0"/>
    <x v="0"/>
    <x v="3"/>
  </r>
  <r>
    <d v="2025-10-13T00:00:00"/>
    <x v="0"/>
    <x v="9"/>
    <n v="3271"/>
    <n v="36"/>
    <n v="1"/>
    <n v="51"/>
    <n v="574.54"/>
    <n v="0"/>
    <s v="Male"/>
    <x v="0"/>
    <x v="5"/>
    <x v="4"/>
  </r>
  <r>
    <d v="2025-10-14T00:00:00"/>
    <x v="0"/>
    <x v="9"/>
    <n v="648"/>
    <n v="33"/>
    <n v="34"/>
    <n v="260"/>
    <n v="292.45999999999998"/>
    <n v="0"/>
    <s v="Male"/>
    <x v="2"/>
    <x v="1"/>
    <x v="4"/>
  </r>
  <r>
    <d v="2025-10-15T00:00:00"/>
    <x v="0"/>
    <x v="9"/>
    <n v="4263"/>
    <n v="34"/>
    <n v="40"/>
    <n v="336"/>
    <n v="1140.1199999999999"/>
    <n v="0"/>
    <s v="Female"/>
    <x v="0"/>
    <x v="0"/>
    <x v="4"/>
  </r>
  <r>
    <d v="2025-10-16T00:00:00"/>
    <x v="0"/>
    <x v="9"/>
    <n v="4046"/>
    <n v="27"/>
    <n v="43"/>
    <n v="42"/>
    <n v="300.2"/>
    <n v="0"/>
    <s v="Male"/>
    <x v="1"/>
    <x v="1"/>
    <x v="4"/>
  </r>
  <r>
    <d v="2025-10-17T00:00:00"/>
    <x v="0"/>
    <x v="9"/>
    <n v="4175"/>
    <n v="40"/>
    <n v="25"/>
    <n v="353"/>
    <n v="261.92"/>
    <n v="0"/>
    <s v="Male"/>
    <x v="0"/>
    <x v="0"/>
    <x v="4"/>
  </r>
  <r>
    <d v="2025-10-18T00:00:00"/>
    <x v="0"/>
    <x v="9"/>
    <n v="3392"/>
    <n v="44"/>
    <n v="38"/>
    <n v="414"/>
    <n v="2182.12"/>
    <n v="0"/>
    <s v="Male"/>
    <x v="0"/>
    <x v="4"/>
    <x v="4"/>
  </r>
  <r>
    <d v="2025-10-19T00:00:00"/>
    <x v="0"/>
    <x v="9"/>
    <n v="3459"/>
    <n v="37"/>
    <n v="34"/>
    <n v="101"/>
    <n v="2092.58"/>
    <n v="0"/>
    <s v="Male"/>
    <x v="0"/>
    <x v="4"/>
    <x v="4"/>
  </r>
  <r>
    <d v="2025-10-20T00:00:00"/>
    <x v="0"/>
    <x v="9"/>
    <n v="676"/>
    <n v="26"/>
    <n v="31"/>
    <n v="359"/>
    <n v="607.63"/>
    <n v="0"/>
    <s v="Male"/>
    <x v="1"/>
    <x v="1"/>
    <x v="4"/>
  </r>
  <r>
    <d v="2025-10-21T00:00:00"/>
    <x v="0"/>
    <x v="9"/>
    <n v="1519"/>
    <n v="19"/>
    <n v="34"/>
    <n v="352"/>
    <n v="974.67"/>
    <n v="0"/>
    <s v="Male"/>
    <x v="1"/>
    <x v="4"/>
    <x v="4"/>
  </r>
  <r>
    <d v="2025-10-22T00:00:00"/>
    <x v="0"/>
    <x v="9"/>
    <n v="3684"/>
    <n v="18"/>
    <n v="18"/>
    <n v="186"/>
    <n v="1688.36"/>
    <n v="0"/>
    <s v="Male"/>
    <x v="0"/>
    <x v="2"/>
    <x v="4"/>
  </r>
  <r>
    <d v="2025-10-23T00:00:00"/>
    <x v="0"/>
    <x v="9"/>
    <n v="3956"/>
    <n v="14"/>
    <n v="42"/>
    <n v="217"/>
    <n v="1352.74"/>
    <n v="0"/>
    <s v="Male"/>
    <x v="0"/>
    <x v="2"/>
    <x v="4"/>
  </r>
  <r>
    <d v="2025-10-24T00:00:00"/>
    <x v="0"/>
    <x v="9"/>
    <n v="1664"/>
    <n v="26"/>
    <n v="-3"/>
    <n v="449"/>
    <n v="1388.01"/>
    <n v="0"/>
    <s v="Female"/>
    <x v="0"/>
    <x v="2"/>
    <x v="4"/>
  </r>
  <r>
    <d v="2025-10-25T00:00:00"/>
    <x v="0"/>
    <x v="9"/>
    <n v="1731"/>
    <n v="28"/>
    <n v="40"/>
    <n v="85"/>
    <n v="2238.3200000000002"/>
    <n v="0"/>
    <s v="Male"/>
    <x v="0"/>
    <x v="0"/>
    <x v="4"/>
  </r>
  <r>
    <d v="2025-10-26T00:00:00"/>
    <x v="0"/>
    <x v="9"/>
    <n v="1685"/>
    <n v="38"/>
    <n v="44"/>
    <n v="187"/>
    <n v="648.15"/>
    <n v="0"/>
    <s v="Male"/>
    <x v="0"/>
    <x v="1"/>
    <x v="4"/>
  </r>
  <r>
    <d v="2025-10-27T00:00:00"/>
    <x v="0"/>
    <x v="9"/>
    <n v="1452"/>
    <n v="30"/>
    <n v="1"/>
    <n v="99"/>
    <n v="1521.94"/>
    <n v="0"/>
    <s v="Female"/>
    <x v="0"/>
    <x v="0"/>
    <x v="4"/>
  </r>
  <r>
    <d v="2025-10-28T00:00:00"/>
    <x v="0"/>
    <x v="9"/>
    <n v="4124"/>
    <n v="29"/>
    <n v="49"/>
    <n v="228"/>
    <n v="1557.66"/>
    <n v="55"/>
    <s v="Male"/>
    <x v="2"/>
    <x v="2"/>
    <x v="4"/>
  </r>
  <r>
    <d v="2025-10-29T00:00:00"/>
    <x v="0"/>
    <x v="9"/>
    <n v="4908"/>
    <n v="17"/>
    <n v="40"/>
    <n v="134"/>
    <n v="80.69"/>
    <n v="0"/>
    <s v="Female"/>
    <x v="0"/>
    <x v="0"/>
    <x v="4"/>
  </r>
  <r>
    <d v="2025-10-30T00:00:00"/>
    <x v="0"/>
    <x v="9"/>
    <n v="4578"/>
    <n v="42"/>
    <n v="8"/>
    <n v="37"/>
    <n v="2309.29"/>
    <n v="0"/>
    <s v="Male"/>
    <x v="0"/>
    <x v="0"/>
    <x v="4"/>
  </r>
  <r>
    <d v="2025-10-31T00:00:00"/>
    <x v="0"/>
    <x v="9"/>
    <n v="3709"/>
    <n v="37"/>
    <n v="28"/>
    <n v="328"/>
    <n v="715.95"/>
    <n v="0"/>
    <s v="Female"/>
    <x v="0"/>
    <x v="2"/>
    <x v="4"/>
  </r>
  <r>
    <d v="2025-11-01T00:00:00"/>
    <x v="0"/>
    <x v="10"/>
    <n v="1828"/>
    <n v="28"/>
    <n v="25"/>
    <n v="243"/>
    <n v="1218.3499999999999"/>
    <n v="0"/>
    <s v="Female"/>
    <x v="0"/>
    <x v="0"/>
    <x v="4"/>
  </r>
  <r>
    <d v="2025-11-02T00:00:00"/>
    <x v="0"/>
    <x v="10"/>
    <n v="2822"/>
    <n v="8"/>
    <n v="38"/>
    <n v="223"/>
    <n v="552.84"/>
    <n v="0"/>
    <s v="Male"/>
    <x v="0"/>
    <x v="2"/>
    <x v="4"/>
  </r>
  <r>
    <d v="2025-11-03T00:00:00"/>
    <x v="0"/>
    <x v="10"/>
    <n v="931"/>
    <n v="24"/>
    <n v="40"/>
    <n v="218"/>
    <n v="813.77"/>
    <n v="0"/>
    <s v="Female"/>
    <x v="0"/>
    <x v="2"/>
    <x v="4"/>
  </r>
  <r>
    <d v="2025-11-04T00:00:00"/>
    <x v="0"/>
    <x v="10"/>
    <n v="4016"/>
    <n v="3"/>
    <n v="10"/>
    <n v="49"/>
    <n v="2192.9"/>
    <n v="0"/>
    <s v="Male"/>
    <x v="1"/>
    <x v="2"/>
    <x v="4"/>
  </r>
  <r>
    <d v="2025-11-05T00:00:00"/>
    <x v="0"/>
    <x v="10"/>
    <n v="1139"/>
    <n v="9"/>
    <n v="36"/>
    <n v="250"/>
    <n v="1842.34"/>
    <n v="0"/>
    <s v="Male"/>
    <x v="0"/>
    <x v="2"/>
    <x v="4"/>
  </r>
  <r>
    <d v="2025-11-06T00:00:00"/>
    <x v="0"/>
    <x v="10"/>
    <n v="2730"/>
    <n v="23"/>
    <n v="28"/>
    <n v="153"/>
    <n v="795.37"/>
    <n v="0"/>
    <s v="Male"/>
    <x v="0"/>
    <x v="5"/>
    <x v="4"/>
  </r>
  <r>
    <d v="2025-11-07T00:00:00"/>
    <x v="0"/>
    <x v="10"/>
    <n v="2025"/>
    <n v="9"/>
    <n v="22"/>
    <n v="84"/>
    <n v="1660.39"/>
    <n v="0"/>
    <s v="Male"/>
    <x v="0"/>
    <x v="5"/>
    <x v="4"/>
  </r>
  <r>
    <d v="2025-11-08T00:00:00"/>
    <x v="0"/>
    <x v="10"/>
    <n v="2166"/>
    <n v="27"/>
    <n v="29"/>
    <n v="397"/>
    <n v="28.07"/>
    <n v="0"/>
    <s v="Male"/>
    <x v="0"/>
    <x v="2"/>
    <x v="4"/>
  </r>
  <r>
    <d v="2025-11-09T00:00:00"/>
    <x v="0"/>
    <x v="10"/>
    <n v="2749"/>
    <n v="15"/>
    <n v="32"/>
    <n v="362"/>
    <n v="2213.46"/>
    <n v="0"/>
    <s v="Male"/>
    <x v="0"/>
    <x v="0"/>
    <x v="4"/>
  </r>
  <r>
    <d v="2025-11-10T00:00:00"/>
    <x v="0"/>
    <x v="10"/>
    <n v="3400"/>
    <n v="24"/>
    <n v="43"/>
    <n v="67"/>
    <n v="1822.1"/>
    <n v="0"/>
    <s v="Female"/>
    <x v="0"/>
    <x v="2"/>
    <x v="4"/>
  </r>
  <r>
    <d v="2025-11-11T00:00:00"/>
    <x v="0"/>
    <x v="10"/>
    <n v="2351"/>
    <n v="45"/>
    <n v="-1"/>
    <n v="362"/>
    <n v="835.38"/>
    <n v="0"/>
    <s v="Female"/>
    <x v="0"/>
    <x v="1"/>
    <x v="4"/>
  </r>
  <r>
    <d v="2025-11-12T00:00:00"/>
    <x v="0"/>
    <x v="10"/>
    <n v="4348"/>
    <n v="27"/>
    <n v="4"/>
    <n v="118"/>
    <n v="1464.83"/>
    <n v="0"/>
    <s v="Male"/>
    <x v="0"/>
    <x v="5"/>
    <x v="4"/>
  </r>
  <r>
    <d v="2025-11-13T00:00:00"/>
    <x v="0"/>
    <x v="10"/>
    <n v="2118"/>
    <n v="36"/>
    <n v="26"/>
    <n v="134"/>
    <n v="27.52"/>
    <n v="0"/>
    <s v="Male"/>
    <x v="2"/>
    <x v="4"/>
    <x v="4"/>
  </r>
  <r>
    <d v="2025-11-14T00:00:00"/>
    <x v="0"/>
    <x v="10"/>
    <n v="4857"/>
    <n v="42"/>
    <n v="22"/>
    <n v="45"/>
    <n v="490.45"/>
    <n v="0"/>
    <s v="Female"/>
    <x v="0"/>
    <x v="0"/>
    <x v="4"/>
  </r>
  <r>
    <d v="2025-11-15T00:00:00"/>
    <x v="0"/>
    <x v="10"/>
    <n v="2234"/>
    <n v="8"/>
    <n v="32"/>
    <n v="112"/>
    <n v="2345.1"/>
    <n v="0"/>
    <s v="Male"/>
    <x v="0"/>
    <x v="4"/>
    <x v="4"/>
  </r>
  <r>
    <d v="2025-11-16T00:00:00"/>
    <x v="0"/>
    <x v="10"/>
    <n v="2460"/>
    <n v="11"/>
    <n v="44"/>
    <n v="346"/>
    <n v="1740.99"/>
    <n v="0"/>
    <s v="Male"/>
    <x v="0"/>
    <x v="5"/>
    <x v="4"/>
  </r>
  <r>
    <d v="2025-11-17T00:00:00"/>
    <x v="0"/>
    <x v="10"/>
    <n v="1961"/>
    <n v="24"/>
    <n v="29"/>
    <n v="263"/>
    <n v="1667.92"/>
    <n v="55"/>
    <s v="Male"/>
    <x v="2"/>
    <x v="1"/>
    <x v="5"/>
  </r>
  <r>
    <d v="2025-11-18T00:00:00"/>
    <x v="0"/>
    <x v="10"/>
    <n v="1143"/>
    <n v="9"/>
    <n v="45"/>
    <n v="274"/>
    <n v="105.55"/>
    <n v="0"/>
    <s v="Female"/>
    <x v="1"/>
    <x v="0"/>
    <x v="5"/>
  </r>
  <r>
    <d v="2025-11-19T00:00:00"/>
    <x v="0"/>
    <x v="10"/>
    <n v="2911"/>
    <n v="36"/>
    <n v="23"/>
    <n v="149"/>
    <n v="2341.0100000000002"/>
    <n v="0"/>
    <s v="Male"/>
    <x v="0"/>
    <x v="2"/>
    <x v="5"/>
  </r>
  <r>
    <d v="2025-11-20T00:00:00"/>
    <x v="0"/>
    <x v="10"/>
    <n v="3715"/>
    <n v="22"/>
    <n v="30"/>
    <n v="349"/>
    <n v="2487.75"/>
    <n v="0"/>
    <s v="Female"/>
    <x v="0"/>
    <x v="0"/>
    <x v="5"/>
  </r>
  <r>
    <d v="2025-11-21T00:00:00"/>
    <x v="0"/>
    <x v="10"/>
    <n v="4591"/>
    <n v="20"/>
    <n v="-3"/>
    <n v="431"/>
    <n v="792.39"/>
    <n v="0"/>
    <s v="Female"/>
    <x v="0"/>
    <x v="1"/>
    <x v="5"/>
  </r>
  <r>
    <d v="2025-11-22T00:00:00"/>
    <x v="0"/>
    <x v="10"/>
    <n v="3370"/>
    <n v="6"/>
    <n v="48"/>
    <n v="404"/>
    <n v="2089.08"/>
    <n v="0"/>
    <s v="Male"/>
    <x v="2"/>
    <x v="1"/>
    <x v="5"/>
  </r>
  <r>
    <d v="2025-11-23T00:00:00"/>
    <x v="0"/>
    <x v="10"/>
    <n v="2576"/>
    <n v="20"/>
    <n v="28"/>
    <n v="214"/>
    <n v="1316.01"/>
    <n v="0"/>
    <s v="Male"/>
    <x v="1"/>
    <x v="2"/>
    <x v="5"/>
  </r>
  <r>
    <d v="2025-11-24T00:00:00"/>
    <x v="0"/>
    <x v="10"/>
    <n v="1416"/>
    <n v="15"/>
    <n v="21"/>
    <n v="272"/>
    <n v="790.99"/>
    <n v="0"/>
    <s v="Male"/>
    <x v="0"/>
    <x v="2"/>
    <x v="5"/>
  </r>
  <r>
    <d v="2025-11-25T00:00:00"/>
    <x v="0"/>
    <x v="10"/>
    <n v="3790"/>
    <n v="29"/>
    <n v="23"/>
    <n v="405"/>
    <n v="1941.82"/>
    <n v="0"/>
    <s v="Male"/>
    <x v="0"/>
    <x v="2"/>
    <x v="5"/>
  </r>
  <r>
    <d v="2025-11-26T00:00:00"/>
    <x v="0"/>
    <x v="10"/>
    <n v="1375"/>
    <n v="25"/>
    <n v="11"/>
    <n v="218"/>
    <n v="2476.16"/>
    <n v="0"/>
    <s v="Male"/>
    <x v="0"/>
    <x v="2"/>
    <x v="5"/>
  </r>
  <r>
    <d v="2025-11-27T00:00:00"/>
    <x v="0"/>
    <x v="10"/>
    <n v="2563"/>
    <n v="38"/>
    <n v="39"/>
    <n v="228"/>
    <n v="643.01"/>
    <n v="0"/>
    <s v="Male"/>
    <x v="0"/>
    <x v="2"/>
    <x v="5"/>
  </r>
  <r>
    <d v="2025-11-28T00:00:00"/>
    <x v="0"/>
    <x v="10"/>
    <n v="2583"/>
    <n v="37"/>
    <n v="23"/>
    <n v="418"/>
    <n v="1963.62"/>
    <n v="0"/>
    <s v="Female"/>
    <x v="0"/>
    <x v="2"/>
    <x v="5"/>
  </r>
  <r>
    <d v="2025-11-29T00:00:00"/>
    <x v="0"/>
    <x v="10"/>
    <n v="3521"/>
    <n v="36"/>
    <n v="6"/>
    <n v="361"/>
    <n v="580"/>
    <n v="0"/>
    <s v="Male"/>
    <x v="0"/>
    <x v="3"/>
    <x v="5"/>
  </r>
  <r>
    <d v="2025-11-30T00:00:00"/>
    <x v="0"/>
    <x v="10"/>
    <n v="1164"/>
    <n v="16"/>
    <n v="36"/>
    <n v="333"/>
    <n v="1504.88"/>
    <n v="55"/>
    <s v="Male"/>
    <x v="3"/>
    <x v="1"/>
    <x v="5"/>
  </r>
  <r>
    <d v="2025-12-01T00:00:00"/>
    <x v="0"/>
    <x v="11"/>
    <n v="4764"/>
    <n v="37"/>
    <n v="46"/>
    <n v="300"/>
    <n v="313.7"/>
    <n v="0"/>
    <s v="Male"/>
    <x v="0"/>
    <x v="2"/>
    <x v="5"/>
  </r>
  <r>
    <d v="2025-12-02T00:00:00"/>
    <x v="0"/>
    <x v="11"/>
    <n v="1509"/>
    <n v="37"/>
    <n v="11"/>
    <n v="133"/>
    <n v="861.44"/>
    <n v="0"/>
    <s v="Male"/>
    <x v="0"/>
    <x v="0"/>
    <x v="5"/>
  </r>
  <r>
    <d v="2025-12-03T00:00:00"/>
    <x v="0"/>
    <x v="11"/>
    <n v="3238"/>
    <n v="9"/>
    <n v="2"/>
    <n v="292"/>
    <n v="858.16"/>
    <n v="55"/>
    <s v="Male"/>
    <x v="2"/>
    <x v="1"/>
    <x v="5"/>
  </r>
  <r>
    <d v="2025-12-04T00:00:00"/>
    <x v="0"/>
    <x v="11"/>
    <n v="4860"/>
    <n v="29"/>
    <n v="25"/>
    <n v="317"/>
    <n v="757.49"/>
    <n v="0"/>
    <s v="Female"/>
    <x v="0"/>
    <x v="1"/>
    <x v="5"/>
  </r>
  <r>
    <d v="2025-12-05T00:00:00"/>
    <x v="0"/>
    <x v="11"/>
    <n v="1332"/>
    <n v="7"/>
    <n v="14"/>
    <n v="217"/>
    <n v="2045.45"/>
    <n v="0"/>
    <s v="Female"/>
    <x v="0"/>
    <x v="2"/>
    <x v="5"/>
  </r>
  <r>
    <d v="2025-12-06T00:00:00"/>
    <x v="0"/>
    <x v="11"/>
    <n v="4845"/>
    <n v="13"/>
    <n v="8"/>
    <n v="100"/>
    <n v="542.89"/>
    <n v="0"/>
    <s v="Male"/>
    <x v="0"/>
    <x v="4"/>
    <x v="5"/>
  </r>
  <r>
    <d v="2025-12-07T00:00:00"/>
    <x v="0"/>
    <x v="11"/>
    <n v="1735"/>
    <n v="44"/>
    <n v="24"/>
    <n v="403"/>
    <n v="394.21"/>
    <n v="0"/>
    <s v="Male"/>
    <x v="0"/>
    <x v="0"/>
    <x v="5"/>
  </r>
  <r>
    <d v="2025-12-08T00:00:00"/>
    <x v="0"/>
    <x v="11"/>
    <n v="2747"/>
    <n v="13"/>
    <n v="15"/>
    <n v="349"/>
    <n v="2072.27"/>
    <n v="0"/>
    <s v="Male"/>
    <x v="1"/>
    <x v="2"/>
    <x v="5"/>
  </r>
  <r>
    <d v="2025-12-09T00:00:00"/>
    <x v="0"/>
    <x v="11"/>
    <n v="1732"/>
    <n v="36"/>
    <n v="1"/>
    <n v="322"/>
    <n v="380.52"/>
    <n v="0"/>
    <s v="Male"/>
    <x v="0"/>
    <x v="2"/>
    <x v="5"/>
  </r>
  <r>
    <d v="2025-12-10T00:00:00"/>
    <x v="0"/>
    <x v="11"/>
    <n v="3708"/>
    <n v="9"/>
    <n v="50"/>
    <n v="113"/>
    <n v="2385.5500000000002"/>
    <n v="0"/>
    <s v="Female"/>
    <x v="0"/>
    <x v="1"/>
    <x v="5"/>
  </r>
  <r>
    <d v="2025-12-11T00:00:00"/>
    <x v="0"/>
    <x v="11"/>
    <n v="4442"/>
    <n v="18"/>
    <n v="46"/>
    <n v="29"/>
    <n v="305.31"/>
    <n v="0"/>
    <s v="Male"/>
    <x v="0"/>
    <x v="4"/>
    <x v="5"/>
  </r>
  <r>
    <d v="2025-12-12T00:00:00"/>
    <x v="0"/>
    <x v="11"/>
    <n v="4370"/>
    <n v="38"/>
    <n v="21"/>
    <n v="241"/>
    <n v="11.22"/>
    <n v="0"/>
    <s v="Male"/>
    <x v="0"/>
    <x v="2"/>
    <x v="5"/>
  </r>
  <r>
    <d v="2025-12-13T00:00:00"/>
    <x v="0"/>
    <x v="11"/>
    <n v="4231"/>
    <n v="45"/>
    <n v="2"/>
    <n v="233"/>
    <n v="1665.15"/>
    <n v="0"/>
    <s v="Female"/>
    <x v="1"/>
    <x v="1"/>
    <x v="5"/>
  </r>
  <r>
    <d v="2025-12-14T00:00:00"/>
    <x v="0"/>
    <x v="11"/>
    <n v="4952"/>
    <n v="19"/>
    <n v="7"/>
    <n v="93"/>
    <n v="1108.6199999999999"/>
    <n v="0"/>
    <s v="Female"/>
    <x v="0"/>
    <x v="0"/>
    <x v="5"/>
  </r>
  <r>
    <d v="2025-12-15T00:00:00"/>
    <x v="0"/>
    <x v="11"/>
    <n v="3037"/>
    <n v="29"/>
    <n v="45"/>
    <n v="402"/>
    <n v="1061.83"/>
    <n v="0"/>
    <s v="Male"/>
    <x v="0"/>
    <x v="0"/>
    <x v="5"/>
  </r>
  <r>
    <d v="2025-12-16T00:00:00"/>
    <x v="0"/>
    <x v="11"/>
    <n v="4635"/>
    <n v="30"/>
    <n v="34"/>
    <n v="187"/>
    <n v="1487.39"/>
    <n v="0"/>
    <s v="Male"/>
    <x v="1"/>
    <x v="1"/>
    <x v="5"/>
  </r>
  <r>
    <d v="2025-12-17T00:00:00"/>
    <x v="0"/>
    <x v="11"/>
    <n v="2747"/>
    <n v="43"/>
    <n v="26"/>
    <n v="339"/>
    <n v="1407.47"/>
    <n v="0"/>
    <s v="Male"/>
    <x v="3"/>
    <x v="3"/>
    <x v="6"/>
  </r>
  <r>
    <d v="2025-12-18T00:00:00"/>
    <x v="0"/>
    <x v="11"/>
    <n v="4414"/>
    <n v="17"/>
    <n v="35"/>
    <n v="132"/>
    <n v="1758.76"/>
    <n v="0"/>
    <s v="Female"/>
    <x v="0"/>
    <x v="0"/>
    <x v="6"/>
  </r>
  <r>
    <d v="2025-12-19T00:00:00"/>
    <x v="0"/>
    <x v="11"/>
    <n v="4560"/>
    <n v="23"/>
    <n v="47"/>
    <n v="58"/>
    <n v="220.58"/>
    <n v="0"/>
    <s v="Male"/>
    <x v="1"/>
    <x v="0"/>
    <x v="6"/>
  </r>
  <r>
    <d v="2025-12-20T00:00:00"/>
    <x v="0"/>
    <x v="11"/>
    <n v="2942"/>
    <n v="32"/>
    <n v="36"/>
    <n v="250"/>
    <n v="650.63"/>
    <n v="0"/>
    <s v="Female"/>
    <x v="0"/>
    <x v="1"/>
    <x v="6"/>
  </r>
  <r>
    <d v="2025-12-21T00:00:00"/>
    <x v="0"/>
    <x v="11"/>
    <n v="2216"/>
    <n v="10"/>
    <n v="22"/>
    <n v="140"/>
    <n v="1218.71"/>
    <n v="0"/>
    <s v="Male"/>
    <x v="0"/>
    <x v="0"/>
    <x v="6"/>
  </r>
  <r>
    <d v="2025-12-22T00:00:00"/>
    <x v="0"/>
    <x v="11"/>
    <n v="517"/>
    <n v="27"/>
    <n v="31"/>
    <n v="303"/>
    <n v="2205.64"/>
    <n v="0"/>
    <s v="Male"/>
    <x v="0"/>
    <x v="1"/>
    <x v="6"/>
  </r>
  <r>
    <d v="2025-12-23T00:00:00"/>
    <x v="0"/>
    <x v="11"/>
    <n v="4257"/>
    <n v="32"/>
    <n v="41"/>
    <n v="337"/>
    <n v="2341.71"/>
    <n v="55"/>
    <s v="Male"/>
    <x v="1"/>
    <x v="0"/>
    <x v="6"/>
  </r>
  <r>
    <d v="2025-12-24T00:00:00"/>
    <x v="0"/>
    <x v="11"/>
    <n v="1456"/>
    <n v="13"/>
    <n v="33"/>
    <n v="278"/>
    <n v="777.69"/>
    <n v="0"/>
    <s v="Male"/>
    <x v="1"/>
    <x v="1"/>
    <x v="6"/>
  </r>
  <r>
    <d v="2025-12-25T00:00:00"/>
    <x v="0"/>
    <x v="11"/>
    <n v="813"/>
    <n v="41"/>
    <n v="32"/>
    <n v="245"/>
    <n v="1696.16"/>
    <n v="0"/>
    <s v="Male"/>
    <x v="0"/>
    <x v="0"/>
    <x v="6"/>
  </r>
  <r>
    <d v="2025-12-26T00:00:00"/>
    <x v="0"/>
    <x v="11"/>
    <n v="2233"/>
    <n v="17"/>
    <n v="43"/>
    <n v="178"/>
    <n v="857.82"/>
    <n v="0"/>
    <s v="Female"/>
    <x v="2"/>
    <x v="0"/>
    <x v="6"/>
  </r>
  <r>
    <d v="2025-12-27T00:00:00"/>
    <x v="0"/>
    <x v="11"/>
    <n v="1700"/>
    <n v="9"/>
    <n v="42"/>
    <n v="43"/>
    <n v="1161.8"/>
    <n v="0"/>
    <s v="Male"/>
    <x v="2"/>
    <x v="1"/>
    <x v="6"/>
  </r>
  <r>
    <d v="2025-12-28T00:00:00"/>
    <x v="0"/>
    <x v="11"/>
    <n v="4862"/>
    <n v="12"/>
    <n v="6"/>
    <n v="40"/>
    <n v="1438.42"/>
    <n v="0"/>
    <s v="Female"/>
    <x v="0"/>
    <x v="2"/>
    <x v="6"/>
  </r>
  <r>
    <d v="2025-12-29T00:00:00"/>
    <x v="0"/>
    <x v="11"/>
    <n v="2249"/>
    <n v="22"/>
    <n v="32"/>
    <n v="311"/>
    <n v="2433.9899999999998"/>
    <n v="0"/>
    <s v="Female"/>
    <x v="3"/>
    <x v="1"/>
    <x v="6"/>
  </r>
  <r>
    <d v="2025-12-30T00:00:00"/>
    <x v="0"/>
    <x v="11"/>
    <n v="2731"/>
    <n v="16"/>
    <n v="41"/>
    <n v="327"/>
    <n v="1338.38"/>
    <n v="0"/>
    <s v="Male"/>
    <x v="0"/>
    <x v="3"/>
    <x v="6"/>
  </r>
  <r>
    <d v="2025-12-31T00:00:00"/>
    <x v="0"/>
    <x v="11"/>
    <n v="2851"/>
    <n v="10"/>
    <n v="42"/>
    <n v="352"/>
    <n v="1623.67"/>
    <n v="0"/>
    <s v="Female"/>
    <x v="0"/>
    <x v="5"/>
    <x v="6"/>
  </r>
  <r>
    <d v="2026-01-01T00:00:00"/>
    <x v="1"/>
    <x v="0"/>
    <n v="3515"/>
    <n v="43"/>
    <n v="14"/>
    <n v="377"/>
    <n v="757.57"/>
    <n v="0"/>
    <s v="Female"/>
    <x v="1"/>
    <x v="5"/>
    <x v="6"/>
  </r>
  <r>
    <d v="2026-01-02T00:00:00"/>
    <x v="1"/>
    <x v="0"/>
    <n v="3213"/>
    <n v="20"/>
    <n v="36"/>
    <n v="328"/>
    <n v="1136.2"/>
    <n v="0"/>
    <s v="Male"/>
    <x v="0"/>
    <x v="1"/>
    <x v="6"/>
  </r>
  <r>
    <d v="2026-01-03T00:00:00"/>
    <x v="1"/>
    <x v="0"/>
    <n v="4652"/>
    <n v="26"/>
    <n v="47"/>
    <n v="345"/>
    <n v="2182.9299999999998"/>
    <n v="0"/>
    <s v="Male"/>
    <x v="0"/>
    <x v="1"/>
    <x v="6"/>
  </r>
  <r>
    <d v="2026-01-04T00:00:00"/>
    <x v="1"/>
    <x v="0"/>
    <n v="2843"/>
    <n v="16"/>
    <n v="17"/>
    <n v="375"/>
    <n v="247.98"/>
    <n v="0"/>
    <s v="Female"/>
    <x v="0"/>
    <x v="3"/>
    <x v="6"/>
  </r>
  <r>
    <d v="2026-01-05T00:00:00"/>
    <x v="1"/>
    <x v="0"/>
    <n v="2207"/>
    <n v="31"/>
    <n v="1"/>
    <n v="267"/>
    <n v="567.62"/>
    <n v="0"/>
    <s v="Female"/>
    <x v="1"/>
    <x v="2"/>
    <x v="6"/>
  </r>
  <r>
    <d v="2026-01-06T00:00:00"/>
    <x v="1"/>
    <x v="0"/>
    <n v="1999"/>
    <n v="20"/>
    <n v="23"/>
    <n v="48"/>
    <n v="1736.58"/>
    <n v="0"/>
    <s v="Male"/>
    <x v="0"/>
    <x v="0"/>
    <x v="6"/>
  </r>
  <r>
    <d v="2026-01-07T00:00:00"/>
    <x v="1"/>
    <x v="0"/>
    <n v="2497"/>
    <n v="16"/>
    <n v="31"/>
    <n v="92"/>
    <n v="1791.42"/>
    <n v="0"/>
    <s v="Male"/>
    <x v="1"/>
    <x v="0"/>
    <x v="6"/>
  </r>
  <r>
    <d v="2026-01-08T00:00:00"/>
    <x v="1"/>
    <x v="0"/>
    <n v="1807"/>
    <n v="14"/>
    <n v="-3"/>
    <n v="332"/>
    <n v="300.58999999999997"/>
    <n v="55"/>
    <s v="Male"/>
    <x v="1"/>
    <x v="2"/>
    <x v="6"/>
  </r>
  <r>
    <d v="2026-01-09T00:00:00"/>
    <x v="1"/>
    <x v="0"/>
    <n v="2530"/>
    <n v="24"/>
    <n v="29"/>
    <n v="300"/>
    <n v="907.25"/>
    <n v="0"/>
    <s v="Male"/>
    <x v="0"/>
    <x v="2"/>
    <x v="6"/>
  </r>
  <r>
    <d v="2026-01-10T00:00:00"/>
    <x v="1"/>
    <x v="0"/>
    <n v="2724"/>
    <n v="7"/>
    <n v="20"/>
    <n v="224"/>
    <n v="1264.42"/>
    <n v="0"/>
    <s v="Female"/>
    <x v="0"/>
    <x v="2"/>
    <x v="6"/>
  </r>
  <r>
    <d v="2026-01-11T00:00:00"/>
    <x v="1"/>
    <x v="0"/>
    <n v="2881"/>
    <n v="31"/>
    <n v="26"/>
    <n v="403"/>
    <n v="284.5"/>
    <n v="0"/>
    <s v="Male"/>
    <x v="2"/>
    <x v="2"/>
    <x v="6"/>
  </r>
  <r>
    <d v="2026-01-12T00:00:00"/>
    <x v="1"/>
    <x v="0"/>
    <n v="5018"/>
    <n v="11"/>
    <n v="59"/>
    <n v="428"/>
    <n v="460.3"/>
    <n v="0"/>
    <s v="Female"/>
    <x v="1"/>
    <x v="0"/>
    <x v="6"/>
  </r>
  <r>
    <d v="2026-01-13T00:00:00"/>
    <x v="1"/>
    <x v="0"/>
    <n v="1220"/>
    <n v="29"/>
    <n v="-3"/>
    <n v="27"/>
    <n v="973.47"/>
    <n v="0"/>
    <s v="Male"/>
    <x v="0"/>
    <x v="2"/>
    <x v="6"/>
  </r>
  <r>
    <d v="2026-01-14T00:00:00"/>
    <x v="1"/>
    <x v="0"/>
    <n v="2152"/>
    <n v="29"/>
    <n v="37"/>
    <n v="422"/>
    <n v="2138.0700000000002"/>
    <n v="55"/>
    <s v="Female"/>
    <x v="2"/>
    <x v="0"/>
    <x v="6"/>
  </r>
  <r>
    <d v="2026-01-15T00:00:00"/>
    <x v="1"/>
    <x v="0"/>
    <n v="1280"/>
    <n v="17"/>
    <n v="11"/>
    <n v="91"/>
    <n v="1044.25"/>
    <n v="0"/>
    <s v="Male"/>
    <x v="0"/>
    <x v="2"/>
    <x v="6"/>
  </r>
  <r>
    <d v="2026-01-16T00:00:00"/>
    <x v="1"/>
    <x v="0"/>
    <n v="2237"/>
    <n v="20"/>
    <n v="24"/>
    <n v="209"/>
    <n v="1563.36"/>
    <n v="0"/>
    <s v="Female"/>
    <x v="3"/>
    <x v="2"/>
    <x v="7"/>
  </r>
  <r>
    <d v="2026-01-17T00:00:00"/>
    <x v="1"/>
    <x v="0"/>
    <n v="4329"/>
    <n v="13"/>
    <n v="34"/>
    <n v="384"/>
    <n v="1050.19"/>
    <n v="0"/>
    <s v="Male"/>
    <x v="0"/>
    <x v="2"/>
    <x v="7"/>
  </r>
  <r>
    <d v="2026-01-18T00:00:00"/>
    <x v="1"/>
    <x v="0"/>
    <n v="4286"/>
    <n v="20"/>
    <n v="52"/>
    <n v="262"/>
    <n v="143.46"/>
    <n v="0"/>
    <s v="Male"/>
    <x v="1"/>
    <x v="1"/>
    <x v="7"/>
  </r>
  <r>
    <d v="2026-01-19T00:00:00"/>
    <x v="1"/>
    <x v="0"/>
    <n v="2024"/>
    <n v="21"/>
    <n v="18"/>
    <n v="440"/>
    <n v="1532.4"/>
    <n v="0"/>
    <s v="Male"/>
    <x v="2"/>
    <x v="2"/>
    <x v="7"/>
  </r>
  <r>
    <d v="2026-01-20T00:00:00"/>
    <x v="1"/>
    <x v="0"/>
    <n v="2507"/>
    <n v="8"/>
    <n v="16"/>
    <n v="95"/>
    <n v="1092.83"/>
    <n v="0"/>
    <s v="Male"/>
    <x v="0"/>
    <x v="2"/>
    <x v="7"/>
  </r>
  <r>
    <d v="2026-01-21T00:00:00"/>
    <x v="1"/>
    <x v="0"/>
    <n v="2446"/>
    <n v="13"/>
    <n v="41"/>
    <n v="199"/>
    <n v="1440.69"/>
    <n v="0"/>
    <s v="Male"/>
    <x v="0"/>
    <x v="4"/>
    <x v="7"/>
  </r>
  <r>
    <d v="2026-01-22T00:00:00"/>
    <x v="1"/>
    <x v="0"/>
    <n v="3250"/>
    <n v="25"/>
    <n v="40"/>
    <n v="324"/>
    <n v="2110.27"/>
    <n v="0"/>
    <s v="Male"/>
    <x v="1"/>
    <x v="0"/>
    <x v="7"/>
  </r>
  <r>
    <d v="2026-01-23T00:00:00"/>
    <x v="1"/>
    <x v="0"/>
    <n v="3082"/>
    <n v="19"/>
    <n v="29"/>
    <n v="281"/>
    <n v="2139.15"/>
    <n v="0"/>
    <s v="Female"/>
    <x v="1"/>
    <x v="1"/>
    <x v="7"/>
  </r>
  <r>
    <d v="2026-01-24T00:00:00"/>
    <x v="1"/>
    <x v="0"/>
    <n v="3332"/>
    <n v="18"/>
    <n v="-3"/>
    <n v="323"/>
    <n v="1414.69"/>
    <n v="0"/>
    <s v="Male"/>
    <x v="1"/>
    <x v="0"/>
    <x v="7"/>
  </r>
  <r>
    <d v="2026-01-25T00:00:00"/>
    <x v="1"/>
    <x v="0"/>
    <n v="1681"/>
    <n v="16"/>
    <n v="20"/>
    <n v="42"/>
    <n v="1265.01"/>
    <n v="0"/>
    <s v="Male"/>
    <x v="3"/>
    <x v="1"/>
    <x v="7"/>
  </r>
  <r>
    <d v="2026-01-26T00:00:00"/>
    <x v="1"/>
    <x v="0"/>
    <n v="2809"/>
    <n v="22"/>
    <n v="10"/>
    <n v="253"/>
    <n v="693.09"/>
    <n v="0"/>
    <s v="Male"/>
    <x v="0"/>
    <x v="2"/>
    <x v="7"/>
  </r>
  <r>
    <d v="2026-01-27T00:00:00"/>
    <x v="1"/>
    <x v="0"/>
    <n v="3365"/>
    <n v="23"/>
    <n v="36"/>
    <n v="276"/>
    <n v="2082.5700000000002"/>
    <n v="0"/>
    <s v="Male"/>
    <x v="0"/>
    <x v="1"/>
    <x v="7"/>
  </r>
  <r>
    <d v="2026-01-28T00:00:00"/>
    <x v="1"/>
    <x v="0"/>
    <n v="4645"/>
    <n v="21"/>
    <n v="53"/>
    <n v="118"/>
    <n v="267.43"/>
    <n v="0"/>
    <s v="Male"/>
    <x v="0"/>
    <x v="0"/>
    <x v="7"/>
  </r>
  <r>
    <d v="2026-01-29T00:00:00"/>
    <x v="1"/>
    <x v="0"/>
    <n v="1275"/>
    <n v="17"/>
    <n v="19"/>
    <n v="34"/>
    <n v="2416.9499999999998"/>
    <n v="0"/>
    <s v="Female"/>
    <x v="0"/>
    <x v="2"/>
    <x v="7"/>
  </r>
  <r>
    <d v="2026-01-30T00:00:00"/>
    <x v="1"/>
    <x v="0"/>
    <n v="3184"/>
    <n v="20"/>
    <n v="30"/>
    <n v="263"/>
    <n v="91.12"/>
    <n v="0"/>
    <s v="Male"/>
    <x v="0"/>
    <x v="0"/>
    <x v="7"/>
  </r>
  <r>
    <d v="2026-01-31T00:00:00"/>
    <x v="1"/>
    <x v="0"/>
    <n v="3066"/>
    <n v="20"/>
    <n v="22"/>
    <n v="340"/>
    <n v="1316.84"/>
    <n v="0"/>
    <s v="Female"/>
    <x v="2"/>
    <x v="0"/>
    <x v="7"/>
  </r>
  <r>
    <d v="2026-02-01T00:00:00"/>
    <x v="1"/>
    <x v="1"/>
    <n v="3674"/>
    <n v="25"/>
    <n v="42"/>
    <n v="81"/>
    <n v="1873.85"/>
    <n v="0"/>
    <s v="Male"/>
    <x v="0"/>
    <x v="4"/>
    <x v="7"/>
  </r>
  <r>
    <d v="2026-02-02T00:00:00"/>
    <x v="1"/>
    <x v="1"/>
    <n v="2133"/>
    <n v="18"/>
    <n v="12"/>
    <n v="80"/>
    <n v="880.99"/>
    <n v="55"/>
    <s v="Male"/>
    <x v="1"/>
    <x v="0"/>
    <x v="7"/>
  </r>
  <r>
    <d v="2026-02-03T00:00:00"/>
    <x v="1"/>
    <x v="1"/>
    <n v="1443"/>
    <n v="13"/>
    <n v="2"/>
    <n v="282"/>
    <n v="516.53"/>
    <n v="0"/>
    <s v="Male"/>
    <x v="2"/>
    <x v="2"/>
    <x v="7"/>
  </r>
  <r>
    <d v="2026-02-04T00:00:00"/>
    <x v="1"/>
    <x v="1"/>
    <n v="2752"/>
    <n v="15"/>
    <n v="30"/>
    <n v="101"/>
    <n v="1463.55"/>
    <n v="0"/>
    <s v="Female"/>
    <x v="0"/>
    <x v="0"/>
    <x v="7"/>
  </r>
  <r>
    <d v="2026-02-05T00:00:00"/>
    <x v="1"/>
    <x v="1"/>
    <n v="676"/>
    <n v="12"/>
    <n v="46"/>
    <n v="144"/>
    <n v="1120.6199999999999"/>
    <n v="0"/>
    <s v="Female"/>
    <x v="0"/>
    <x v="2"/>
    <x v="7"/>
  </r>
  <r>
    <d v="2026-02-06T00:00:00"/>
    <x v="1"/>
    <x v="1"/>
    <n v="2983"/>
    <n v="25"/>
    <n v="1"/>
    <n v="312"/>
    <n v="512.23"/>
    <n v="0"/>
    <s v="Male"/>
    <x v="1"/>
    <x v="2"/>
    <x v="7"/>
  </r>
  <r>
    <d v="2026-02-07T00:00:00"/>
    <x v="1"/>
    <x v="1"/>
    <n v="2672"/>
    <n v="11"/>
    <n v="18"/>
    <n v="363"/>
    <n v="78.67"/>
    <n v="0"/>
    <s v="Female"/>
    <x v="0"/>
    <x v="2"/>
    <x v="7"/>
  </r>
  <r>
    <d v="2026-02-08T00:00:00"/>
    <x v="1"/>
    <x v="1"/>
    <n v="5249"/>
    <n v="7"/>
    <n v="48"/>
    <n v="173"/>
    <n v="132"/>
    <n v="0"/>
    <s v="Male"/>
    <x v="0"/>
    <x v="2"/>
    <x v="7"/>
  </r>
  <r>
    <d v="2026-02-09T00:00:00"/>
    <x v="1"/>
    <x v="1"/>
    <n v="3383"/>
    <n v="33"/>
    <n v="28"/>
    <n v="407"/>
    <n v="2068.5100000000002"/>
    <n v="0"/>
    <s v="Male"/>
    <x v="0"/>
    <x v="0"/>
    <x v="7"/>
  </r>
  <r>
    <d v="2026-02-10T00:00:00"/>
    <x v="1"/>
    <x v="1"/>
    <n v="3577"/>
    <n v="16"/>
    <n v="44"/>
    <n v="227"/>
    <n v="1031.05"/>
    <n v="0"/>
    <s v="Male"/>
    <x v="0"/>
    <x v="2"/>
    <x v="8"/>
  </r>
  <r>
    <d v="2026-02-11T00:00:00"/>
    <x v="1"/>
    <x v="1"/>
    <n v="1983"/>
    <n v="30"/>
    <n v="14"/>
    <n v="223"/>
    <n v="967.1"/>
    <n v="0"/>
    <s v="Male"/>
    <x v="0"/>
    <x v="2"/>
    <x v="8"/>
  </r>
  <r>
    <d v="2026-02-12T00:00:00"/>
    <x v="1"/>
    <x v="1"/>
    <n v="3959"/>
    <n v="24"/>
    <n v="38"/>
    <n v="431"/>
    <n v="121.74"/>
    <n v="0"/>
    <s v="Male"/>
    <x v="0"/>
    <x v="2"/>
    <x v="8"/>
  </r>
  <r>
    <d v="2026-02-13T00:00:00"/>
    <x v="1"/>
    <x v="1"/>
    <n v="1757"/>
    <n v="22"/>
    <n v="31"/>
    <n v="31"/>
    <n v="331.33"/>
    <n v="0"/>
    <s v="Male"/>
    <x v="0"/>
    <x v="2"/>
    <x v="8"/>
  </r>
  <r>
    <d v="2026-02-14T00:00:00"/>
    <x v="1"/>
    <x v="1"/>
    <n v="4562"/>
    <n v="34"/>
    <n v="54"/>
    <n v="279"/>
    <n v="810.93"/>
    <n v="0"/>
    <s v="Female"/>
    <x v="0"/>
    <x v="4"/>
    <x v="8"/>
  </r>
  <r>
    <d v="2026-02-15T00:00:00"/>
    <x v="1"/>
    <x v="1"/>
    <n v="4709"/>
    <n v="22"/>
    <n v="41"/>
    <n v="88"/>
    <n v="952.18"/>
    <n v="0"/>
    <s v="Male"/>
    <x v="0"/>
    <x v="2"/>
    <x v="8"/>
  </r>
  <r>
    <d v="2026-02-16T00:00:00"/>
    <x v="1"/>
    <x v="1"/>
    <n v="2328"/>
    <n v="16"/>
    <n v="14"/>
    <n v="241"/>
    <n v="1570.59"/>
    <n v="0"/>
    <s v="Male"/>
    <x v="1"/>
    <x v="4"/>
    <x v="8"/>
  </r>
  <r>
    <d v="2026-02-17T00:00:00"/>
    <x v="1"/>
    <x v="1"/>
    <n v="1788"/>
    <n v="18"/>
    <n v="13"/>
    <n v="379"/>
    <n v="261.06"/>
    <n v="0"/>
    <s v="Female"/>
    <x v="0"/>
    <x v="0"/>
    <x v="8"/>
  </r>
  <r>
    <d v="2026-02-18T00:00:00"/>
    <x v="1"/>
    <x v="1"/>
    <n v="2990"/>
    <n v="10"/>
    <n v="10"/>
    <n v="214"/>
    <n v="1496.09"/>
    <n v="0"/>
    <s v="Male"/>
    <x v="1"/>
    <x v="1"/>
    <x v="8"/>
  </r>
  <r>
    <d v="2026-02-19T00:00:00"/>
    <x v="1"/>
    <x v="1"/>
    <n v="2593"/>
    <n v="25"/>
    <n v="16"/>
    <n v="290"/>
    <n v="244.13"/>
    <n v="0"/>
    <s v="Male"/>
    <x v="0"/>
    <x v="0"/>
    <x v="8"/>
  </r>
  <r>
    <d v="2026-02-20T00:00:00"/>
    <x v="1"/>
    <x v="1"/>
    <n v="2565"/>
    <n v="27"/>
    <n v="21"/>
    <n v="444"/>
    <n v="1076.1099999999999"/>
    <n v="55"/>
    <s v="Male"/>
    <x v="1"/>
    <x v="1"/>
    <x v="8"/>
  </r>
  <r>
    <d v="2026-02-21T00:00:00"/>
    <x v="1"/>
    <x v="1"/>
    <n v="3585"/>
    <n v="28"/>
    <n v="47"/>
    <n v="201"/>
    <n v="1966.4"/>
    <n v="0"/>
    <s v="Male"/>
    <x v="0"/>
    <x v="2"/>
    <x v="8"/>
  </r>
  <r>
    <d v="2026-02-22T00:00:00"/>
    <x v="1"/>
    <x v="1"/>
    <n v="2039"/>
    <n v="27"/>
    <n v="11"/>
    <n v="206"/>
    <n v="399.04"/>
    <n v="0"/>
    <s v="Male"/>
    <x v="3"/>
    <x v="0"/>
    <x v="8"/>
  </r>
  <r>
    <d v="2026-02-23T00:00:00"/>
    <x v="1"/>
    <x v="1"/>
    <n v="2975"/>
    <n v="29"/>
    <n v="46"/>
    <n v="115"/>
    <n v="344.1"/>
    <n v="0"/>
    <s v="Male"/>
    <x v="2"/>
    <x v="2"/>
    <x v="8"/>
  </r>
  <r>
    <d v="2026-02-24T00:00:00"/>
    <x v="1"/>
    <x v="1"/>
    <n v="3199"/>
    <n v="10"/>
    <n v="48"/>
    <n v="115"/>
    <n v="2337.7199999999998"/>
    <n v="0"/>
    <s v="Male"/>
    <x v="1"/>
    <x v="2"/>
    <x v="8"/>
  </r>
  <r>
    <d v="2026-02-25T00:00:00"/>
    <x v="1"/>
    <x v="1"/>
    <n v="2439"/>
    <n v="20"/>
    <n v="23"/>
    <n v="192"/>
    <n v="566.28"/>
    <n v="0"/>
    <s v="Male"/>
    <x v="1"/>
    <x v="1"/>
    <x v="8"/>
  </r>
  <r>
    <d v="2026-02-26T00:00:00"/>
    <x v="1"/>
    <x v="1"/>
    <n v="4263"/>
    <n v="11"/>
    <n v="29"/>
    <n v="373"/>
    <n v="806.04"/>
    <n v="0"/>
    <s v="Male"/>
    <x v="0"/>
    <x v="4"/>
    <x v="8"/>
  </r>
  <r>
    <d v="2026-02-27T00:00:00"/>
    <x v="1"/>
    <x v="1"/>
    <n v="4323"/>
    <n v="19"/>
    <n v="39"/>
    <n v="143"/>
    <n v="1789.77"/>
    <n v="0"/>
    <s v="Female"/>
    <x v="2"/>
    <x v="4"/>
    <x v="8"/>
  </r>
  <r>
    <d v="2026-02-28T00:00:00"/>
    <x v="1"/>
    <x v="1"/>
    <n v="4110"/>
    <n v="36"/>
    <n v="44"/>
    <n v="304"/>
    <n v="2255.0700000000002"/>
    <n v="0"/>
    <s v="Male"/>
    <x v="0"/>
    <x v="4"/>
    <x v="8"/>
  </r>
  <r>
    <d v="2026-03-01T00:00:00"/>
    <x v="1"/>
    <x v="2"/>
    <n v="3075"/>
    <n v="21"/>
    <n v="10"/>
    <n v="417"/>
    <n v="2375.0100000000002"/>
    <n v="0"/>
    <s v="Female"/>
    <x v="2"/>
    <x v="3"/>
    <x v="8"/>
  </r>
  <r>
    <d v="2026-03-02T00:00:00"/>
    <x v="1"/>
    <x v="2"/>
    <n v="3579"/>
    <n v="15"/>
    <n v="44"/>
    <n v="152"/>
    <n v="988.16"/>
    <n v="0"/>
    <s v="Male"/>
    <x v="2"/>
    <x v="2"/>
    <x v="9"/>
  </r>
  <r>
    <d v="2026-03-03T00:00:00"/>
    <x v="1"/>
    <x v="2"/>
    <n v="3044"/>
    <n v="11"/>
    <n v="44"/>
    <n v="117"/>
    <n v="2083.67"/>
    <n v="0"/>
    <s v="Male"/>
    <x v="0"/>
    <x v="5"/>
    <x v="9"/>
  </r>
  <r>
    <d v="2026-03-04T00:00:00"/>
    <x v="1"/>
    <x v="2"/>
    <n v="3210"/>
    <n v="17"/>
    <n v="36"/>
    <n v="92"/>
    <n v="1420.84"/>
    <n v="0"/>
    <s v="Male"/>
    <x v="0"/>
    <x v="3"/>
    <x v="9"/>
  </r>
  <r>
    <d v="2026-03-05T00:00:00"/>
    <x v="1"/>
    <x v="2"/>
    <n v="844"/>
    <n v="32"/>
    <n v="2"/>
    <n v="30"/>
    <n v="1183.33"/>
    <n v="0"/>
    <s v="Female"/>
    <x v="1"/>
    <x v="0"/>
    <x v="9"/>
  </r>
  <r>
    <d v="2026-03-06T00:00:00"/>
    <x v="1"/>
    <x v="2"/>
    <n v="3347"/>
    <n v="26"/>
    <n v="31"/>
    <n v="257"/>
    <n v="1335.75"/>
    <n v="0"/>
    <s v="Female"/>
    <x v="0"/>
    <x v="2"/>
    <x v="9"/>
  </r>
  <r>
    <d v="2026-03-07T00:00:00"/>
    <x v="1"/>
    <x v="2"/>
    <n v="4667"/>
    <n v="45"/>
    <n v="28"/>
    <n v="331"/>
    <n v="727.75"/>
    <n v="0"/>
    <s v="Male"/>
    <x v="0"/>
    <x v="2"/>
    <x v="9"/>
  </r>
  <r>
    <d v="2026-03-08T00:00:00"/>
    <x v="1"/>
    <x v="2"/>
    <n v="2356"/>
    <n v="34"/>
    <n v="42"/>
    <n v="172"/>
    <n v="1167.8"/>
    <n v="0"/>
    <s v="Male"/>
    <x v="0"/>
    <x v="0"/>
    <x v="9"/>
  </r>
  <r>
    <d v="2026-03-09T00:00:00"/>
    <x v="1"/>
    <x v="2"/>
    <n v="4901"/>
    <n v="27"/>
    <n v="38"/>
    <n v="62"/>
    <n v="22.34"/>
    <n v="0"/>
    <s v="Female"/>
    <x v="0"/>
    <x v="5"/>
    <x v="9"/>
  </r>
  <r>
    <d v="2026-03-10T00:00:00"/>
    <x v="1"/>
    <x v="2"/>
    <n v="4181"/>
    <n v="22"/>
    <n v="38"/>
    <n v="278"/>
    <n v="1319.95"/>
    <n v="0"/>
    <s v="Female"/>
    <x v="1"/>
    <x v="4"/>
    <x v="9"/>
  </r>
  <r>
    <d v="2026-03-11T00:00:00"/>
    <x v="1"/>
    <x v="2"/>
    <n v="3024"/>
    <n v="21"/>
    <n v="40"/>
    <n v="335"/>
    <n v="205.24"/>
    <n v="0"/>
    <s v="Female"/>
    <x v="1"/>
    <x v="0"/>
    <x v="9"/>
  </r>
  <r>
    <d v="2026-03-12T00:00:00"/>
    <x v="1"/>
    <x v="2"/>
    <n v="3717"/>
    <n v="23"/>
    <n v="24"/>
    <n v="48"/>
    <n v="2047.57"/>
    <n v="0"/>
    <s v="Female"/>
    <x v="1"/>
    <x v="2"/>
    <x v="9"/>
  </r>
  <r>
    <d v="2026-03-13T00:00:00"/>
    <x v="1"/>
    <x v="2"/>
    <n v="2524"/>
    <n v="19"/>
    <n v="30"/>
    <n v="31"/>
    <n v="1923.8"/>
    <n v="0"/>
    <s v="Male"/>
    <x v="0"/>
    <x v="2"/>
    <x v="9"/>
  </r>
  <r>
    <d v="2026-03-14T00:00:00"/>
    <x v="1"/>
    <x v="2"/>
    <n v="5035"/>
    <n v="9"/>
    <n v="43"/>
    <n v="102"/>
    <n v="1397.3"/>
    <n v="0"/>
    <s v="Male"/>
    <x v="2"/>
    <x v="5"/>
    <x v="9"/>
  </r>
  <r>
    <d v="2026-03-15T00:00:00"/>
    <x v="1"/>
    <x v="2"/>
    <n v="3328"/>
    <n v="17"/>
    <n v="31"/>
    <n v="125"/>
    <n v="2181.14"/>
    <n v="55"/>
    <s v="Male"/>
    <x v="0"/>
    <x v="4"/>
    <x v="9"/>
  </r>
  <r>
    <d v="2026-03-16T00:00:00"/>
    <x v="1"/>
    <x v="2"/>
    <n v="3286"/>
    <n v="16"/>
    <n v="29"/>
    <n v="62"/>
    <n v="2345.81"/>
    <n v="0"/>
    <s v="Male"/>
    <x v="0"/>
    <x v="0"/>
    <x v="9"/>
  </r>
  <r>
    <d v="2026-03-17T00:00:00"/>
    <x v="1"/>
    <x v="2"/>
    <n v="3581"/>
    <n v="28"/>
    <n v="13"/>
    <n v="390"/>
    <n v="1052.05"/>
    <n v="0"/>
    <s v="Male"/>
    <x v="0"/>
    <x v="2"/>
    <x v="9"/>
  </r>
  <r>
    <d v="2026-03-18T00:00:00"/>
    <x v="1"/>
    <x v="2"/>
    <n v="2672"/>
    <n v="29"/>
    <n v="43"/>
    <n v="104"/>
    <n v="567.74"/>
    <n v="0"/>
    <s v="Male"/>
    <x v="1"/>
    <x v="2"/>
    <x v="9"/>
  </r>
  <r>
    <d v="2026-03-19T00:00:00"/>
    <x v="1"/>
    <x v="2"/>
    <n v="1788"/>
    <n v="31"/>
    <n v="7"/>
    <n v="91"/>
    <n v="772.68"/>
    <n v="0"/>
    <s v="Male"/>
    <x v="0"/>
    <x v="5"/>
    <x v="9"/>
  </r>
  <r>
    <d v="2026-03-20T00:00:00"/>
    <x v="1"/>
    <x v="2"/>
    <n v="3276"/>
    <n v="26"/>
    <n v="41"/>
    <n v="94"/>
    <n v="1311.37"/>
    <n v="0"/>
    <s v="Female"/>
    <x v="1"/>
    <x v="4"/>
    <x v="10"/>
  </r>
  <r>
    <d v="2026-03-21T00:00:00"/>
    <x v="1"/>
    <x v="2"/>
    <n v="3166"/>
    <n v="7"/>
    <n v="29"/>
    <n v="240"/>
    <n v="1014.28"/>
    <n v="0"/>
    <s v="Female"/>
    <x v="1"/>
    <x v="4"/>
    <x v="10"/>
  </r>
  <r>
    <d v="2026-03-22T00:00:00"/>
    <x v="1"/>
    <x v="2"/>
    <n v="3498"/>
    <n v="24"/>
    <n v="36"/>
    <n v="267"/>
    <n v="805.38"/>
    <n v="0"/>
    <s v="Male"/>
    <x v="0"/>
    <x v="0"/>
    <x v="10"/>
  </r>
  <r>
    <d v="2026-03-23T00:00:00"/>
    <x v="1"/>
    <x v="2"/>
    <n v="3899"/>
    <n v="7"/>
    <n v="25"/>
    <n v="93"/>
    <n v="2208.7800000000002"/>
    <n v="0"/>
    <s v="Male"/>
    <x v="0"/>
    <x v="4"/>
    <x v="10"/>
  </r>
  <r>
    <d v="2026-03-24T00:00:00"/>
    <x v="1"/>
    <x v="2"/>
    <n v="2072"/>
    <n v="18"/>
    <n v="14"/>
    <n v="296"/>
    <n v="1258.6500000000001"/>
    <n v="0"/>
    <s v="Female"/>
    <x v="0"/>
    <x v="1"/>
    <x v="10"/>
  </r>
  <r>
    <d v="2026-03-25T00:00:00"/>
    <x v="1"/>
    <x v="2"/>
    <n v="3059"/>
    <n v="22"/>
    <n v="30"/>
    <n v="434"/>
    <n v="957.97"/>
    <n v="0"/>
    <s v="Male"/>
    <x v="0"/>
    <x v="0"/>
    <x v="10"/>
  </r>
  <r>
    <d v="2026-03-26T00:00:00"/>
    <x v="1"/>
    <x v="2"/>
    <n v="2263"/>
    <n v="36"/>
    <n v="39"/>
    <n v="291"/>
    <n v="1473.29"/>
    <n v="0"/>
    <s v="Male"/>
    <x v="0"/>
    <x v="3"/>
    <x v="10"/>
  </r>
  <r>
    <d v="2026-03-27T00:00:00"/>
    <x v="1"/>
    <x v="2"/>
    <n v="3243"/>
    <n v="13"/>
    <n v="15"/>
    <n v="268"/>
    <n v="1113.8599999999999"/>
    <n v="0"/>
    <s v="Female"/>
    <x v="0"/>
    <x v="0"/>
    <x v="10"/>
  </r>
  <r>
    <d v="2026-03-28T00:00:00"/>
    <x v="1"/>
    <x v="2"/>
    <n v="3274"/>
    <n v="36"/>
    <n v="36"/>
    <n v="403"/>
    <n v="328.4"/>
    <n v="0"/>
    <s v="Male"/>
    <x v="1"/>
    <x v="2"/>
    <x v="10"/>
  </r>
  <r>
    <d v="2026-03-29T00:00:00"/>
    <x v="1"/>
    <x v="2"/>
    <n v="4217"/>
    <n v="31"/>
    <n v="36"/>
    <n v="369"/>
    <n v="828.78"/>
    <n v="0"/>
    <s v="Male"/>
    <x v="2"/>
    <x v="0"/>
    <x v="10"/>
  </r>
  <r>
    <d v="2026-03-30T00:00:00"/>
    <x v="1"/>
    <x v="2"/>
    <n v="3368"/>
    <n v="28"/>
    <n v="19"/>
    <n v="412"/>
    <n v="680.52"/>
    <n v="0"/>
    <s v="Male"/>
    <x v="0"/>
    <x v="3"/>
    <x v="10"/>
  </r>
  <r>
    <d v="2026-03-31T00:00:00"/>
    <x v="1"/>
    <x v="2"/>
    <n v="2910"/>
    <n v="26"/>
    <n v="48"/>
    <n v="179"/>
    <n v="867.5"/>
    <n v="0"/>
    <s v="Female"/>
    <x v="0"/>
    <x v="0"/>
    <x v="10"/>
  </r>
  <r>
    <d v="2026-04-01T00:00:00"/>
    <x v="1"/>
    <x v="3"/>
    <n v="3033"/>
    <n v="34"/>
    <n v="10"/>
    <n v="419"/>
    <n v="279.98"/>
    <n v="0"/>
    <s v="Male"/>
    <x v="0"/>
    <x v="2"/>
    <x v="10"/>
  </r>
  <r>
    <d v="2026-04-02T00:00:00"/>
    <x v="1"/>
    <x v="3"/>
    <n v="450"/>
    <n v="34"/>
    <n v="10"/>
    <n v="65"/>
    <n v="2429.6799999999998"/>
    <n v="0"/>
    <s v="Male"/>
    <x v="0"/>
    <x v="5"/>
    <x v="10"/>
  </r>
  <r>
    <d v="2026-04-03T00:00:00"/>
    <x v="1"/>
    <x v="3"/>
    <n v="2578"/>
    <n v="23"/>
    <n v="25"/>
    <n v="23"/>
    <n v="2186.67"/>
    <n v="0"/>
    <s v="Male"/>
    <x v="0"/>
    <x v="0"/>
    <x v="10"/>
  </r>
  <r>
    <d v="2026-04-04T00:00:00"/>
    <x v="1"/>
    <x v="3"/>
    <n v="3312"/>
    <n v="19"/>
    <n v="25"/>
    <n v="260"/>
    <n v="2329.85"/>
    <n v="0"/>
    <s v="Female"/>
    <x v="1"/>
    <x v="0"/>
    <x v="10"/>
  </r>
  <r>
    <d v="2026-04-05T00:00:00"/>
    <x v="1"/>
    <x v="3"/>
    <n v="2854"/>
    <n v="28"/>
    <n v="22"/>
    <n v="359"/>
    <n v="1782.35"/>
    <n v="0"/>
    <s v="Male"/>
    <x v="0"/>
    <x v="1"/>
    <x v="10"/>
  </r>
  <r>
    <d v="2026-04-06T00:00:00"/>
    <x v="1"/>
    <x v="3"/>
    <n v="3707"/>
    <n v="30"/>
    <n v="26"/>
    <n v="144"/>
    <n v="1644.63"/>
    <n v="0"/>
    <s v="Male"/>
    <x v="0"/>
    <x v="0"/>
    <x v="10"/>
  </r>
  <r>
    <d v="2026-04-07T00:00:00"/>
    <x v="1"/>
    <x v="3"/>
    <n v="3341"/>
    <n v="7"/>
    <n v="38"/>
    <n v="179"/>
    <n v="2415.37"/>
    <n v="0"/>
    <s v="Female"/>
    <x v="1"/>
    <x v="1"/>
    <x v="11"/>
  </r>
  <r>
    <d v="2026-04-08T00:00:00"/>
    <x v="1"/>
    <x v="3"/>
    <n v="2527"/>
    <n v="25"/>
    <n v="12"/>
    <n v="230"/>
    <n v="1442.97"/>
    <n v="0"/>
    <s v="Male"/>
    <x v="0"/>
    <x v="1"/>
    <x v="11"/>
  </r>
  <r>
    <d v="2026-04-09T00:00:00"/>
    <x v="1"/>
    <x v="3"/>
    <n v="1382"/>
    <n v="23"/>
    <n v="40"/>
    <n v="281"/>
    <n v="528.80999999999995"/>
    <n v="0"/>
    <s v="Male"/>
    <x v="0"/>
    <x v="0"/>
    <x v="11"/>
  </r>
  <r>
    <d v="2026-04-10T00:00:00"/>
    <x v="1"/>
    <x v="3"/>
    <n v="3471"/>
    <n v="21"/>
    <n v="29"/>
    <n v="24"/>
    <n v="1489.61"/>
    <n v="0"/>
    <s v="Male"/>
    <x v="0"/>
    <x v="3"/>
    <x v="11"/>
  </r>
  <r>
    <d v="2026-04-11T00:00:00"/>
    <x v="1"/>
    <x v="3"/>
    <n v="4133"/>
    <n v="27"/>
    <n v="71"/>
    <n v="435"/>
    <n v="1521.71"/>
    <n v="0"/>
    <s v="Female"/>
    <x v="0"/>
    <x v="2"/>
    <x v="11"/>
  </r>
  <r>
    <d v="2026-04-12T00:00:00"/>
    <x v="1"/>
    <x v="3"/>
    <n v="1382"/>
    <n v="25"/>
    <n v="24"/>
    <n v="380"/>
    <n v="833.6"/>
    <n v="0"/>
    <s v="Male"/>
    <x v="2"/>
    <x v="1"/>
    <x v="11"/>
  </r>
  <r>
    <d v="2026-04-13T00:00:00"/>
    <x v="1"/>
    <x v="3"/>
    <n v="4961"/>
    <n v="36"/>
    <n v="76"/>
    <n v="418"/>
    <n v="2117.29"/>
    <n v="0"/>
    <s v="Female"/>
    <x v="0"/>
    <x v="1"/>
    <x v="11"/>
  </r>
  <r>
    <d v="2026-04-14T00:00:00"/>
    <x v="1"/>
    <x v="3"/>
    <n v="3980"/>
    <n v="12"/>
    <n v="37"/>
    <n v="51"/>
    <n v="221.57"/>
    <n v="0"/>
    <s v="Male"/>
    <x v="3"/>
    <x v="5"/>
    <x v="11"/>
  </r>
  <r>
    <d v="2026-04-15T00:00:00"/>
    <x v="1"/>
    <x v="3"/>
    <n v="3468"/>
    <n v="21"/>
    <n v="37"/>
    <n v="151"/>
    <n v="533.46"/>
    <n v="55"/>
    <s v="Male"/>
    <x v="0"/>
    <x v="1"/>
    <x v="11"/>
  </r>
  <r>
    <d v="2026-04-16T00:00:00"/>
    <x v="1"/>
    <x v="3"/>
    <n v="2618"/>
    <n v="25"/>
    <n v="48"/>
    <n v="272"/>
    <n v="589"/>
    <n v="0"/>
    <s v="Female"/>
    <x v="0"/>
    <x v="2"/>
    <x v="11"/>
  </r>
  <r>
    <d v="2026-04-17T00:00:00"/>
    <x v="1"/>
    <x v="3"/>
    <n v="1332"/>
    <n v="17"/>
    <n v="8"/>
    <n v="270"/>
    <n v="2035.83"/>
    <n v="0"/>
    <s v="Male"/>
    <x v="2"/>
    <x v="1"/>
    <x v="11"/>
  </r>
  <r>
    <d v="2026-04-18T00:00:00"/>
    <x v="1"/>
    <x v="3"/>
    <n v="2150"/>
    <n v="27"/>
    <n v="23"/>
    <n v="319"/>
    <n v="2217.96"/>
    <n v="0"/>
    <s v="Male"/>
    <x v="0"/>
    <x v="5"/>
    <x v="11"/>
  </r>
  <r>
    <d v="2026-04-19T00:00:00"/>
    <x v="1"/>
    <x v="3"/>
    <n v="2889"/>
    <n v="30"/>
    <n v="29"/>
    <n v="438"/>
    <n v="812.11"/>
    <n v="0"/>
    <s v="Female"/>
    <x v="0"/>
    <x v="4"/>
    <x v="11"/>
  </r>
  <r>
    <d v="2026-04-20T00:00:00"/>
    <x v="1"/>
    <x v="3"/>
    <n v="2145"/>
    <n v="21"/>
    <n v="37"/>
    <n v="290"/>
    <n v="831.52"/>
    <n v="0"/>
    <s v="Male"/>
    <x v="1"/>
    <x v="3"/>
    <x v="11"/>
  </r>
  <r>
    <d v="2026-04-21T00:00:00"/>
    <x v="1"/>
    <x v="3"/>
    <n v="2825"/>
    <n v="23"/>
    <n v="15"/>
    <n v="98"/>
    <n v="1059.78"/>
    <n v="0"/>
    <s v="Male"/>
    <x v="0"/>
    <x v="3"/>
    <x v="11"/>
  </r>
  <r>
    <d v="2026-04-22T00:00:00"/>
    <x v="1"/>
    <x v="3"/>
    <n v="4110"/>
    <n v="24"/>
    <n v="49"/>
    <n v="34"/>
    <n v="201.92"/>
    <n v="0"/>
    <s v="Female"/>
    <x v="0"/>
    <x v="3"/>
    <x v="11"/>
  </r>
  <r>
    <d v="2026-04-23T00:00:00"/>
    <x v="1"/>
    <x v="3"/>
    <n v="3509"/>
    <n v="25"/>
    <n v="7"/>
    <n v="327"/>
    <n v="7.56"/>
    <n v="0"/>
    <s v="Female"/>
    <x v="1"/>
    <x v="4"/>
    <x v="12"/>
  </r>
  <r>
    <d v="2026-04-24T00:00:00"/>
    <x v="1"/>
    <x v="3"/>
    <n v="3087"/>
    <n v="10"/>
    <n v="18"/>
    <n v="211"/>
    <n v="1799.22"/>
    <n v="0"/>
    <s v="Male"/>
    <x v="1"/>
    <x v="0"/>
    <x v="12"/>
  </r>
  <r>
    <d v="2026-04-25T00:00:00"/>
    <x v="1"/>
    <x v="3"/>
    <n v="1923"/>
    <n v="19"/>
    <n v="29"/>
    <n v="62"/>
    <n v="1932.31"/>
    <n v="0"/>
    <s v="Female"/>
    <x v="0"/>
    <x v="2"/>
    <x v="12"/>
  </r>
  <r>
    <d v="2026-04-26T00:00:00"/>
    <x v="1"/>
    <x v="3"/>
    <n v="4184"/>
    <n v="31"/>
    <n v="32"/>
    <n v="154"/>
    <n v="387.65"/>
    <n v="0"/>
    <s v="Female"/>
    <x v="0"/>
    <x v="5"/>
    <x v="12"/>
  </r>
  <r>
    <d v="2026-04-27T00:00:00"/>
    <x v="1"/>
    <x v="3"/>
    <n v="3228"/>
    <n v="25"/>
    <n v="8"/>
    <n v="356"/>
    <n v="304.2"/>
    <n v="0"/>
    <s v="Male"/>
    <x v="0"/>
    <x v="2"/>
    <x v="12"/>
  </r>
  <r>
    <d v="2026-04-28T00:00:00"/>
    <x v="1"/>
    <x v="3"/>
    <n v="3218"/>
    <n v="35"/>
    <n v="14"/>
    <n v="358"/>
    <n v="1703.24"/>
    <n v="0"/>
    <s v="Female"/>
    <x v="0"/>
    <x v="2"/>
    <x v="12"/>
  </r>
  <r>
    <d v="2026-04-29T00:00:00"/>
    <x v="1"/>
    <x v="3"/>
    <n v="3403"/>
    <n v="22"/>
    <n v="35"/>
    <n v="304"/>
    <n v="1169.42"/>
    <n v="0"/>
    <s v="Male"/>
    <x v="1"/>
    <x v="0"/>
    <x v="12"/>
  </r>
  <r>
    <d v="2026-04-30T00:00:00"/>
    <x v="1"/>
    <x v="3"/>
    <n v="1962"/>
    <n v="32"/>
    <n v="22"/>
    <n v="416"/>
    <n v="2335.5500000000002"/>
    <n v="0"/>
    <s v="Male"/>
    <x v="2"/>
    <x v="2"/>
    <x v="12"/>
  </r>
  <r>
    <d v="2026-05-01T00:00:00"/>
    <x v="1"/>
    <x v="4"/>
    <n v="2248"/>
    <n v="21"/>
    <n v="47"/>
    <n v="276"/>
    <n v="957.01"/>
    <n v="0"/>
    <s v="Male"/>
    <x v="0"/>
    <x v="0"/>
    <x v="12"/>
  </r>
  <r>
    <d v="2026-05-02T00:00:00"/>
    <x v="1"/>
    <x v="4"/>
    <n v="3745"/>
    <n v="22"/>
    <n v="23"/>
    <n v="27"/>
    <n v="1684.75"/>
    <n v="0"/>
    <s v="Female"/>
    <x v="0"/>
    <x v="0"/>
    <x v="12"/>
  </r>
  <r>
    <d v="2026-05-03T00:00:00"/>
    <x v="1"/>
    <x v="4"/>
    <n v="3297"/>
    <n v="19"/>
    <n v="12"/>
    <n v="184"/>
    <n v="2238.59"/>
    <n v="0"/>
    <s v="Female"/>
    <x v="0"/>
    <x v="1"/>
    <x v="12"/>
  </r>
  <r>
    <d v="2026-05-04T00:00:00"/>
    <x v="1"/>
    <x v="4"/>
    <n v="4876"/>
    <n v="24"/>
    <n v="41"/>
    <n v="190"/>
    <n v="2110.4299999999998"/>
    <n v="0"/>
    <s v="Female"/>
    <x v="1"/>
    <x v="0"/>
    <x v="12"/>
  </r>
  <r>
    <d v="2026-05-05T00:00:00"/>
    <x v="1"/>
    <x v="4"/>
    <n v="2625"/>
    <n v="24"/>
    <n v="23"/>
    <n v="49"/>
    <n v="483.76"/>
    <n v="0"/>
    <s v="Male"/>
    <x v="0"/>
    <x v="1"/>
    <x v="12"/>
  </r>
  <r>
    <d v="2026-05-06T00:00:00"/>
    <x v="1"/>
    <x v="4"/>
    <n v="2109"/>
    <n v="32"/>
    <n v="29"/>
    <n v="101"/>
    <n v="281.25"/>
    <n v="0"/>
    <s v="Male"/>
    <x v="0"/>
    <x v="4"/>
    <x v="12"/>
  </r>
  <r>
    <d v="2026-05-07T00:00:00"/>
    <x v="1"/>
    <x v="4"/>
    <n v="4171"/>
    <n v="19"/>
    <n v="28"/>
    <n v="429"/>
    <n v="1385.44"/>
    <n v="0"/>
    <s v="Female"/>
    <x v="0"/>
    <x v="1"/>
    <x v="12"/>
  </r>
  <r>
    <d v="2026-05-08T00:00:00"/>
    <x v="1"/>
    <x v="4"/>
    <n v="3127"/>
    <n v="23"/>
    <n v="14"/>
    <n v="359"/>
    <n v="313.95999999999998"/>
    <n v="0"/>
    <s v="Male"/>
    <x v="1"/>
    <x v="3"/>
    <x v="13"/>
  </r>
  <r>
    <d v="2026-05-09T00:00:00"/>
    <x v="1"/>
    <x v="4"/>
    <n v="2953"/>
    <n v="22"/>
    <n v="31"/>
    <n v="197"/>
    <n v="1545.19"/>
    <n v="0"/>
    <s v="Male"/>
    <x v="2"/>
    <x v="2"/>
    <x v="13"/>
  </r>
  <r>
    <d v="2026-05-10T00:00:00"/>
    <x v="1"/>
    <x v="4"/>
    <n v="2740"/>
    <n v="23"/>
    <n v="39"/>
    <n v="250"/>
    <n v="1492.48"/>
    <n v="0"/>
    <s v="Male"/>
    <x v="3"/>
    <x v="4"/>
    <x v="13"/>
  </r>
  <r>
    <d v="2026-05-11T00:00:00"/>
    <x v="1"/>
    <x v="4"/>
    <n v="1349"/>
    <n v="19"/>
    <n v="29"/>
    <n v="382"/>
    <n v="705.57"/>
    <n v="0"/>
    <s v="Male"/>
    <x v="0"/>
    <x v="0"/>
    <x v="13"/>
  </r>
  <r>
    <d v="2026-05-12T00:00:00"/>
    <x v="1"/>
    <x v="4"/>
    <n v="3467"/>
    <n v="36"/>
    <n v="63"/>
    <n v="368"/>
    <n v="2300.91"/>
    <n v="0"/>
    <s v="Female"/>
    <x v="0"/>
    <x v="2"/>
    <x v="13"/>
  </r>
  <r>
    <d v="2026-05-13T00:00:00"/>
    <x v="1"/>
    <x v="4"/>
    <n v="2958"/>
    <n v="22"/>
    <n v="26"/>
    <n v="265"/>
    <n v="1734.12"/>
    <n v="0"/>
    <s v="Female"/>
    <x v="1"/>
    <x v="4"/>
    <x v="13"/>
  </r>
  <r>
    <d v="2026-05-14T00:00:00"/>
    <x v="1"/>
    <x v="4"/>
    <n v="2243"/>
    <n v="10"/>
    <n v="13"/>
    <n v="302"/>
    <n v="1196.67"/>
    <n v="0"/>
    <s v="Male"/>
    <x v="0"/>
    <x v="3"/>
    <x v="13"/>
  </r>
  <r>
    <d v="2026-05-15T00:00:00"/>
    <x v="1"/>
    <x v="4"/>
    <n v="3528"/>
    <n v="24"/>
    <n v="25"/>
    <n v="303"/>
    <n v="1230.08"/>
    <n v="0"/>
    <s v="Male"/>
    <x v="1"/>
    <x v="1"/>
    <x v="13"/>
  </r>
  <r>
    <d v="2026-05-16T00:00:00"/>
    <x v="1"/>
    <x v="4"/>
    <n v="3375"/>
    <n v="22"/>
    <n v="37"/>
    <n v="194"/>
    <n v="715.2"/>
    <n v="0"/>
    <s v="Female"/>
    <x v="1"/>
    <x v="2"/>
    <x v="13"/>
  </r>
  <r>
    <d v="2026-05-17T00:00:00"/>
    <x v="1"/>
    <x v="4"/>
    <n v="3004"/>
    <n v="32"/>
    <n v="56"/>
    <n v="231"/>
    <n v="1834.87"/>
    <n v="0"/>
    <s v="Female"/>
    <x v="1"/>
    <x v="3"/>
    <x v="13"/>
  </r>
  <r>
    <d v="2026-05-18T00:00:00"/>
    <x v="1"/>
    <x v="4"/>
    <n v="3274"/>
    <n v="21"/>
    <n v="37"/>
    <n v="61"/>
    <n v="832.47"/>
    <n v="0"/>
    <s v="Female"/>
    <x v="0"/>
    <x v="0"/>
    <x v="13"/>
  </r>
  <r>
    <d v="2026-05-19T00:00:00"/>
    <x v="1"/>
    <x v="4"/>
    <n v="2887"/>
    <n v="28"/>
    <n v="27"/>
    <n v="275"/>
    <n v="389.98"/>
    <n v="0"/>
    <s v="Male"/>
    <x v="1"/>
    <x v="1"/>
    <x v="13"/>
  </r>
  <r>
    <d v="2026-05-20T00:00:00"/>
    <x v="1"/>
    <x v="4"/>
    <n v="4588"/>
    <n v="28"/>
    <n v="13"/>
    <n v="326"/>
    <n v="931.32"/>
    <n v="0"/>
    <s v="Male"/>
    <x v="1"/>
    <x v="3"/>
    <x v="13"/>
  </r>
  <r>
    <d v="2026-05-21T00:00:00"/>
    <x v="1"/>
    <x v="4"/>
    <n v="2902"/>
    <n v="27"/>
    <n v="42"/>
    <n v="258"/>
    <n v="585.29"/>
    <n v="0"/>
    <s v="Male"/>
    <x v="1"/>
    <x v="3"/>
    <x v="13"/>
  </r>
  <r>
    <d v="2026-05-22T00:00:00"/>
    <x v="1"/>
    <x v="4"/>
    <n v="1873"/>
    <n v="34"/>
    <n v="8"/>
    <n v="369"/>
    <n v="863.97"/>
    <n v="0"/>
    <s v="Male"/>
    <x v="0"/>
    <x v="0"/>
    <x v="13"/>
  </r>
  <r>
    <d v="2026-05-23T00:00:00"/>
    <x v="1"/>
    <x v="4"/>
    <n v="3278"/>
    <n v="17"/>
    <n v="20"/>
    <n v="156"/>
    <n v="550"/>
    <n v="0"/>
    <s v="Male"/>
    <x v="3"/>
    <x v="1"/>
    <x v="14"/>
  </r>
  <r>
    <d v="2026-05-24T00:00:00"/>
    <x v="1"/>
    <x v="4"/>
    <n v="1456"/>
    <n v="17"/>
    <n v="32"/>
    <n v="301"/>
    <n v="2005"/>
    <n v="0"/>
    <s v="Male"/>
    <x v="2"/>
    <x v="1"/>
    <x v="9"/>
  </r>
  <r>
    <d v="2026-05-25T00:00:00"/>
    <x v="1"/>
    <x v="4"/>
    <n v="2210"/>
    <n v="14"/>
    <n v="51"/>
    <n v="116"/>
    <n v="1814"/>
    <n v="0"/>
    <s v="Female"/>
    <x v="0"/>
    <x v="4"/>
    <x v="14"/>
  </r>
  <r>
    <d v="2026-05-26T00:00:00"/>
    <x v="1"/>
    <x v="4"/>
    <n v="1661"/>
    <n v="27"/>
    <n v="14"/>
    <n v="427"/>
    <n v="1512"/>
    <n v="0"/>
    <s v="Male"/>
    <x v="3"/>
    <x v="5"/>
    <x v="14"/>
  </r>
  <r>
    <d v="2026-05-27T00:00:00"/>
    <x v="1"/>
    <x v="4"/>
    <n v="2507"/>
    <n v="21"/>
    <n v="22"/>
    <n v="327"/>
    <n v="286"/>
    <n v="0"/>
    <s v="Female"/>
    <x v="0"/>
    <x v="3"/>
    <x v="8"/>
  </r>
  <r>
    <d v="2026-05-28T00:00:00"/>
    <x v="1"/>
    <x v="4"/>
    <n v="2778"/>
    <n v="9"/>
    <n v="3"/>
    <n v="197"/>
    <n v="1574"/>
    <n v="0"/>
    <s v="Female"/>
    <x v="3"/>
    <x v="0"/>
    <x v="9"/>
  </r>
  <r>
    <d v="2026-05-29T00:00:00"/>
    <x v="1"/>
    <x v="4"/>
    <n v="3251"/>
    <n v="41"/>
    <n v="14"/>
    <n v="251"/>
    <n v="1225"/>
    <n v="0"/>
    <s v="Female"/>
    <x v="3"/>
    <x v="3"/>
    <x v="14"/>
  </r>
  <r>
    <d v="2026-05-30T00:00:00"/>
    <x v="1"/>
    <x v="4"/>
    <n v="2613"/>
    <n v="10"/>
    <n v="24"/>
    <n v="200"/>
    <n v="75"/>
    <n v="0"/>
    <s v="Male"/>
    <x v="2"/>
    <x v="3"/>
    <x v="6"/>
  </r>
  <r>
    <d v="2026-05-31T00:00:00"/>
    <x v="1"/>
    <x v="4"/>
    <n v="4987"/>
    <n v="26"/>
    <n v="39"/>
    <n v="354"/>
    <n v="2174"/>
    <n v="0"/>
    <s v="Male"/>
    <x v="1"/>
    <x v="3"/>
    <x v="0"/>
  </r>
  <r>
    <d v="2026-06-01T00:00:00"/>
    <x v="1"/>
    <x v="5"/>
    <n v="2635.74"/>
    <n v="33"/>
    <n v="42"/>
    <n v="247"/>
    <n v="2396"/>
    <n v="0"/>
    <s v="Female"/>
    <x v="3"/>
    <x v="1"/>
    <x v="9"/>
  </r>
  <r>
    <d v="2026-06-02T00:00:00"/>
    <x v="1"/>
    <x v="5"/>
    <n v="4498.2"/>
    <n v="20"/>
    <n v="-5"/>
    <n v="265"/>
    <n v="1374"/>
    <n v="0"/>
    <s v="Female"/>
    <x v="3"/>
    <x v="5"/>
    <x v="0"/>
  </r>
  <r>
    <d v="2026-06-03T00:00:00"/>
    <x v="1"/>
    <x v="5"/>
    <n v="3381.3"/>
    <n v="7"/>
    <n v="7"/>
    <n v="75"/>
    <n v="935"/>
    <n v="0"/>
    <s v="Male"/>
    <x v="2"/>
    <x v="2"/>
    <x v="6"/>
  </r>
  <r>
    <d v="2026-06-04T00:00:00"/>
    <x v="1"/>
    <x v="5"/>
    <n v="4439.7"/>
    <n v="25"/>
    <n v="57"/>
    <n v="182"/>
    <n v="657"/>
    <n v="0"/>
    <s v="Male"/>
    <x v="3"/>
    <x v="0"/>
    <x v="8"/>
  </r>
  <r>
    <d v="2026-06-05T00:00:00"/>
    <x v="1"/>
    <x v="5"/>
    <n v="1088.0999999999999"/>
    <n v="11"/>
    <n v="60"/>
    <n v="321"/>
    <n v="1473"/>
    <n v="0"/>
    <s v="Female"/>
    <x v="0"/>
    <x v="3"/>
    <x v="0"/>
  </r>
  <r>
    <d v="2026-06-06T00:00:00"/>
    <x v="1"/>
    <x v="5"/>
    <n v="3338.1"/>
    <n v="38"/>
    <n v="38"/>
    <n v="241"/>
    <n v="1240"/>
    <n v="0"/>
    <s v="Female"/>
    <x v="0"/>
    <x v="2"/>
    <x v="9"/>
  </r>
  <r>
    <d v="2026-06-07T00:00:00"/>
    <x v="1"/>
    <x v="5"/>
    <n v="2993.4"/>
    <n v="42"/>
    <n v="12"/>
    <n v="345"/>
    <n v="1855"/>
    <n v="0"/>
    <s v="Male"/>
    <x v="0"/>
    <x v="0"/>
    <x v="6"/>
  </r>
  <r>
    <d v="2026-06-08T00:00:00"/>
    <x v="1"/>
    <x v="5"/>
    <n v="3133.8"/>
    <n v="34"/>
    <n v="0"/>
    <n v="239"/>
    <n v="1896"/>
    <n v="0"/>
    <s v="Female"/>
    <x v="3"/>
    <x v="2"/>
    <x v="0"/>
  </r>
  <r>
    <d v="2026-06-09T00:00:00"/>
    <x v="1"/>
    <x v="5"/>
    <n v="3788.1"/>
    <n v="6"/>
    <n v="14"/>
    <n v="56"/>
    <n v="2463"/>
    <n v="0"/>
    <s v="Female"/>
    <x v="2"/>
    <x v="5"/>
    <x v="8"/>
  </r>
  <r>
    <d v="2026-06-10T00:00:00"/>
    <x v="1"/>
    <x v="5"/>
    <n v="3388.5"/>
    <n v="12"/>
    <n v="-1"/>
    <n v="265"/>
    <n v="730"/>
    <n v="0"/>
    <s v="Female"/>
    <x v="2"/>
    <x v="1"/>
    <x v="9"/>
  </r>
  <r>
    <d v="2026-06-11T00:00:00"/>
    <x v="1"/>
    <x v="5"/>
    <n v="4075.2"/>
    <n v="13"/>
    <n v="7"/>
    <n v="182"/>
    <n v="1515"/>
    <n v="0"/>
    <s v="Male"/>
    <x v="3"/>
    <x v="5"/>
    <x v="9"/>
  </r>
  <r>
    <d v="2026-06-12T00:00:00"/>
    <x v="1"/>
    <x v="5"/>
    <n v="2243.6999999999998"/>
    <n v="26"/>
    <n v="39"/>
    <n v="34"/>
    <n v="1320"/>
    <n v="0"/>
    <s v="Female"/>
    <x v="0"/>
    <x v="0"/>
    <x v="0"/>
  </r>
  <r>
    <d v="2026-06-13T00:00:00"/>
    <x v="1"/>
    <x v="5"/>
    <n v="3190.5"/>
    <n v="26"/>
    <n v="19"/>
    <n v="434"/>
    <n v="1464"/>
    <n v="0"/>
    <s v="Female"/>
    <x v="2"/>
    <x v="3"/>
    <x v="0"/>
  </r>
  <r>
    <d v="2026-06-14T00:00:00"/>
    <x v="1"/>
    <x v="5"/>
    <n v="1417.5"/>
    <n v="17"/>
    <n v="38"/>
    <n v="34"/>
    <n v="178"/>
    <n v="0"/>
    <s v="Female"/>
    <x v="0"/>
    <x v="1"/>
    <x v="8"/>
  </r>
  <r>
    <d v="2026-06-15T00:00:00"/>
    <x v="1"/>
    <x v="5"/>
    <n v="3451.5"/>
    <n v="38"/>
    <n v="46"/>
    <n v="65"/>
    <n v="1105"/>
    <n v="0"/>
    <s v="Female"/>
    <x v="2"/>
    <x v="0"/>
    <x v="0"/>
  </r>
  <r>
    <d v="2026-06-16T00:00:00"/>
    <x v="1"/>
    <x v="5"/>
    <n v="3949.2"/>
    <n v="17"/>
    <n v="16"/>
    <n v="243"/>
    <n v="1624"/>
    <n v="0"/>
    <s v="Male"/>
    <x v="1"/>
    <x v="4"/>
    <x v="8"/>
  </r>
  <r>
    <d v="2026-06-17T00:00:00"/>
    <x v="1"/>
    <x v="5"/>
    <n v="3115.8"/>
    <n v="33"/>
    <n v="55"/>
    <n v="89"/>
    <n v="1609"/>
    <n v="0"/>
    <s v="Male"/>
    <x v="3"/>
    <x v="5"/>
    <x v="9"/>
  </r>
  <r>
    <d v="2026-06-18T00:00:00"/>
    <x v="1"/>
    <x v="5"/>
    <n v="2084.4"/>
    <n v="11"/>
    <n v="4"/>
    <n v="269"/>
    <n v="2468"/>
    <n v="0"/>
    <s v="Male"/>
    <x v="2"/>
    <x v="1"/>
    <x v="0"/>
  </r>
  <r>
    <d v="2026-06-19T00:00:00"/>
    <x v="1"/>
    <x v="5"/>
    <n v="3618"/>
    <n v="35"/>
    <n v="46"/>
    <n v="232"/>
    <n v="2377"/>
    <n v="0"/>
    <s v="Female"/>
    <x v="3"/>
    <x v="1"/>
    <x v="0"/>
  </r>
  <r>
    <d v="2026-06-20T00:00:00"/>
    <x v="1"/>
    <x v="5"/>
    <n v="2705.4"/>
    <n v="20"/>
    <n v="20"/>
    <n v="123"/>
    <n v="574"/>
    <n v="0"/>
    <s v="Female"/>
    <x v="1"/>
    <x v="2"/>
    <x v="6"/>
  </r>
  <r>
    <d v="2026-06-21T00:00:00"/>
    <x v="1"/>
    <x v="5"/>
    <n v="1989"/>
    <n v="31"/>
    <n v="0"/>
    <n v="155"/>
    <n v="1046"/>
    <n v="0"/>
    <s v="Male"/>
    <x v="2"/>
    <x v="3"/>
    <x v="9"/>
  </r>
  <r>
    <d v="2026-06-22T00:00:00"/>
    <x v="1"/>
    <x v="5"/>
    <n v="1755.9"/>
    <n v="11"/>
    <n v="26"/>
    <n v="88"/>
    <n v="548"/>
    <n v="0"/>
    <s v="Female"/>
    <x v="0"/>
    <x v="1"/>
    <x v="8"/>
  </r>
  <r>
    <d v="2026-06-23T00:00:00"/>
    <x v="1"/>
    <x v="5"/>
    <n v="2619"/>
    <n v="37"/>
    <n v="58"/>
    <n v="326"/>
    <n v="68"/>
    <n v="0"/>
    <s v="Female"/>
    <x v="2"/>
    <x v="0"/>
    <x v="8"/>
  </r>
  <r>
    <d v="2026-06-24T00:00:00"/>
    <x v="1"/>
    <x v="5"/>
    <n v="1655.1"/>
    <n v="32"/>
    <n v="-5"/>
    <n v="303"/>
    <n v="590"/>
    <n v="0"/>
    <s v="Female"/>
    <x v="2"/>
    <x v="3"/>
    <x v="0"/>
  </r>
  <r>
    <d v="2026-06-25T00:00:00"/>
    <x v="1"/>
    <x v="5"/>
    <n v="877.5"/>
    <n v="30"/>
    <n v="34"/>
    <n v="310"/>
    <n v="2497"/>
    <n v="0"/>
    <s v="Female"/>
    <x v="2"/>
    <x v="4"/>
    <x v="8"/>
  </r>
  <r>
    <d v="2026-06-26T00:00:00"/>
    <x v="1"/>
    <x v="5"/>
    <n v="3184.2"/>
    <n v="25"/>
    <n v="7"/>
    <n v="439"/>
    <n v="300"/>
    <n v="0"/>
    <s v="Female"/>
    <x v="0"/>
    <x v="1"/>
    <x v="9"/>
  </r>
  <r>
    <d v="2026-06-27T00:00:00"/>
    <x v="1"/>
    <x v="5"/>
    <n v="1772.1"/>
    <n v="41"/>
    <n v="35"/>
    <n v="172"/>
    <n v="1044"/>
    <n v="0"/>
    <s v="Male"/>
    <x v="1"/>
    <x v="2"/>
    <x v="0"/>
  </r>
  <r>
    <d v="2026-06-28T00:00:00"/>
    <x v="1"/>
    <x v="5"/>
    <n v="3659.4"/>
    <n v="17"/>
    <n v="28"/>
    <n v="274"/>
    <n v="1725"/>
    <n v="0"/>
    <s v="Female"/>
    <x v="2"/>
    <x v="3"/>
    <x v="8"/>
  </r>
  <r>
    <d v="2026-06-29T00:00:00"/>
    <x v="1"/>
    <x v="5"/>
    <n v="3334.5"/>
    <n v="9"/>
    <n v="-1"/>
    <n v="306"/>
    <n v="1128"/>
    <n v="0"/>
    <s v="Female"/>
    <x v="2"/>
    <x v="0"/>
    <x v="14"/>
  </r>
  <r>
    <d v="2026-06-30T00:00:00"/>
    <x v="1"/>
    <x v="5"/>
    <n v="2818.8"/>
    <n v="37"/>
    <n v="25"/>
    <n v="311"/>
    <n v="1573"/>
    <n v="0"/>
    <s v="Female"/>
    <x v="2"/>
    <x v="5"/>
    <x v="0"/>
  </r>
  <r>
    <d v="2026-07-01T00:00:00"/>
    <x v="1"/>
    <x v="6"/>
    <n v="1499.4"/>
    <n v="21"/>
    <n v="22"/>
    <n v="76"/>
    <n v="1994"/>
    <n v="0"/>
    <s v="Female"/>
    <x v="3"/>
    <x v="5"/>
    <x v="8"/>
  </r>
  <r>
    <d v="2026-07-02T00:00:00"/>
    <x v="1"/>
    <x v="6"/>
    <n v="3470.4"/>
    <n v="15"/>
    <n v="43"/>
    <n v="99"/>
    <n v="2108"/>
    <n v="0"/>
    <s v="Female"/>
    <x v="2"/>
    <x v="3"/>
    <x v="0"/>
  </r>
  <r>
    <d v="2026-07-03T00:00:00"/>
    <x v="1"/>
    <x v="6"/>
    <n v="2826.9"/>
    <n v="12"/>
    <n v="40"/>
    <n v="244"/>
    <n v="1588"/>
    <n v="0"/>
    <s v="Male"/>
    <x v="3"/>
    <x v="5"/>
    <x v="9"/>
  </r>
  <r>
    <d v="2026-07-04T00:00:00"/>
    <x v="1"/>
    <x v="6"/>
    <n v="3031.2"/>
    <n v="19"/>
    <n v="28"/>
    <n v="441"/>
    <n v="1146"/>
    <n v="0"/>
    <s v="Female"/>
    <x v="0"/>
    <x v="0"/>
    <x v="14"/>
  </r>
  <r>
    <d v="2026-07-05T00:00:00"/>
    <x v="1"/>
    <x v="6"/>
    <n v="1468.8"/>
    <n v="5"/>
    <n v="29"/>
    <n v="134"/>
    <n v="1999"/>
    <n v="0"/>
    <s v="Female"/>
    <x v="0"/>
    <x v="1"/>
    <x v="6"/>
  </r>
  <r>
    <d v="2026-07-06T00:00:00"/>
    <x v="1"/>
    <x v="6"/>
    <n v="861.3"/>
    <n v="34"/>
    <n v="55"/>
    <n v="278"/>
    <n v="824"/>
    <n v="0"/>
    <s v="Male"/>
    <x v="2"/>
    <x v="2"/>
    <x v="0"/>
  </r>
  <r>
    <d v="2026-07-07T00:00:00"/>
    <x v="1"/>
    <x v="6"/>
    <n v="933.3"/>
    <n v="9"/>
    <n v="10"/>
    <n v="438"/>
    <n v="985"/>
    <n v="0"/>
    <s v="Male"/>
    <x v="2"/>
    <x v="5"/>
    <x v="9"/>
  </r>
  <r>
    <d v="2026-07-08T00:00:00"/>
    <x v="1"/>
    <x v="6"/>
    <n v="1243.8"/>
    <n v="38"/>
    <n v="29"/>
    <n v="191"/>
    <n v="1802"/>
    <n v="0"/>
    <s v="Female"/>
    <x v="2"/>
    <x v="3"/>
    <x v="14"/>
  </r>
  <r>
    <d v="2026-07-09T00:00:00"/>
    <x v="1"/>
    <x v="6"/>
    <n v="1566.9"/>
    <n v="41"/>
    <n v="41"/>
    <n v="348"/>
    <n v="459"/>
    <n v="0"/>
    <s v="Female"/>
    <x v="2"/>
    <x v="3"/>
    <x v="6"/>
  </r>
  <r>
    <d v="2026-07-10T00:00:00"/>
    <x v="1"/>
    <x v="6"/>
    <n v="2636.1"/>
    <n v="33"/>
    <n v="21"/>
    <n v="407"/>
    <n v="1193"/>
    <n v="0"/>
    <s v="Male"/>
    <x v="2"/>
    <x v="2"/>
    <x v="9"/>
  </r>
  <r>
    <d v="2026-07-11T00:00:00"/>
    <x v="1"/>
    <x v="6"/>
    <n v="1299.5999999999999"/>
    <n v="6"/>
    <n v="15"/>
    <n v="122"/>
    <n v="525"/>
    <n v="0"/>
    <s v="Male"/>
    <x v="3"/>
    <x v="1"/>
    <x v="6"/>
  </r>
  <r>
    <d v="2026-07-12T00:00:00"/>
    <x v="1"/>
    <x v="6"/>
    <n v="1747.8"/>
    <n v="17"/>
    <n v="29"/>
    <n v="440"/>
    <n v="563"/>
    <n v="0"/>
    <s v="Male"/>
    <x v="2"/>
    <x v="2"/>
    <x v="0"/>
  </r>
  <r>
    <d v="2026-07-13T00:00:00"/>
    <x v="1"/>
    <x v="6"/>
    <n v="3951.9"/>
    <n v="35"/>
    <n v="13"/>
    <n v="376"/>
    <n v="1273"/>
    <n v="0"/>
    <s v="Female"/>
    <x v="2"/>
    <x v="5"/>
    <x v="8"/>
  </r>
  <r>
    <d v="2026-07-14T00:00:00"/>
    <x v="1"/>
    <x v="6"/>
    <n v="3942"/>
    <n v="26"/>
    <n v="10"/>
    <n v="98"/>
    <n v="834"/>
    <n v="0"/>
    <s v="Male"/>
    <x v="0"/>
    <x v="5"/>
    <x v="0"/>
  </r>
  <r>
    <d v="2026-07-15T00:00:00"/>
    <x v="1"/>
    <x v="6"/>
    <n v="4659.3"/>
    <n v="33"/>
    <n v="51"/>
    <n v="387"/>
    <n v="941"/>
    <n v="0"/>
    <s v="Female"/>
    <x v="2"/>
    <x v="4"/>
    <x v="6"/>
  </r>
  <r>
    <d v="2026-07-16T00:00:00"/>
    <x v="1"/>
    <x v="6"/>
    <n v="3634.2"/>
    <n v="21"/>
    <n v="51"/>
    <n v="345"/>
    <n v="631"/>
    <n v="0"/>
    <s v="Male"/>
    <x v="2"/>
    <x v="0"/>
    <x v="8"/>
  </r>
  <r>
    <d v="2026-07-17T00:00:00"/>
    <x v="1"/>
    <x v="6"/>
    <n v="1497.6"/>
    <n v="16"/>
    <n v="53"/>
    <n v="348"/>
    <n v="348"/>
    <n v="0"/>
    <s v="Male"/>
    <x v="3"/>
    <x v="0"/>
    <x v="14"/>
  </r>
  <r>
    <d v="2026-07-18T00:00:00"/>
    <x v="1"/>
    <x v="6"/>
    <n v="3838.5"/>
    <n v="14"/>
    <n v="45"/>
    <n v="198"/>
    <n v="1953"/>
    <n v="0"/>
    <s v="Female"/>
    <x v="3"/>
    <x v="4"/>
    <x v="6"/>
  </r>
  <r>
    <d v="2026-07-19T00:00:00"/>
    <x v="1"/>
    <x v="6"/>
    <n v="1130.4000000000001"/>
    <n v="36"/>
    <n v="14"/>
    <n v="369"/>
    <n v="2197"/>
    <n v="0"/>
    <s v="Female"/>
    <x v="0"/>
    <x v="3"/>
    <x v="6"/>
  </r>
  <r>
    <d v="2026-07-20T00:00:00"/>
    <x v="1"/>
    <x v="6"/>
    <n v="1279.8"/>
    <n v="14"/>
    <n v="56"/>
    <n v="158"/>
    <n v="521"/>
    <n v="0"/>
    <s v="Female"/>
    <x v="1"/>
    <x v="1"/>
    <x v="9"/>
  </r>
  <r>
    <d v="2026-07-21T00:00:00"/>
    <x v="1"/>
    <x v="6"/>
    <n v="4606.2"/>
    <n v="29"/>
    <n v="28"/>
    <n v="207"/>
    <n v="816"/>
    <n v="0"/>
    <s v="Female"/>
    <x v="2"/>
    <x v="0"/>
    <x v="14"/>
  </r>
  <r>
    <d v="2026-07-22T00:00:00"/>
    <x v="1"/>
    <x v="6"/>
    <n v="2165.4"/>
    <n v="43"/>
    <n v="0"/>
    <n v="314"/>
    <n v="2089"/>
    <n v="0"/>
    <s v="Female"/>
    <x v="1"/>
    <x v="0"/>
    <x v="9"/>
  </r>
  <r>
    <d v="2026-07-23T00:00:00"/>
    <x v="1"/>
    <x v="6"/>
    <n v="2429.1"/>
    <n v="25"/>
    <n v="32"/>
    <n v="93"/>
    <n v="1801"/>
    <n v="0"/>
    <s v="Male"/>
    <x v="2"/>
    <x v="4"/>
    <x v="6"/>
  </r>
  <r>
    <d v="2026-07-24T00:00:00"/>
    <x v="1"/>
    <x v="6"/>
    <n v="3798.9"/>
    <n v="11"/>
    <n v="52"/>
    <n v="55"/>
    <n v="361"/>
    <n v="0"/>
    <s v="Female"/>
    <x v="3"/>
    <x v="2"/>
    <x v="8"/>
  </r>
  <r>
    <d v="2026-07-25T00:00:00"/>
    <x v="1"/>
    <x v="6"/>
    <n v="3600"/>
    <n v="30"/>
    <n v="10"/>
    <n v="303"/>
    <n v="2484"/>
    <n v="0"/>
    <s v="Female"/>
    <x v="3"/>
    <x v="4"/>
    <x v="8"/>
  </r>
  <r>
    <d v="2026-07-26T00:00:00"/>
    <x v="1"/>
    <x v="6"/>
    <n v="4072.5"/>
    <n v="25"/>
    <n v="36"/>
    <n v="314"/>
    <n v="2116"/>
    <n v="0"/>
    <s v="Female"/>
    <x v="0"/>
    <x v="4"/>
    <x v="8"/>
  </r>
  <r>
    <d v="2026-07-27T00:00:00"/>
    <x v="1"/>
    <x v="6"/>
    <n v="1055.7"/>
    <n v="24"/>
    <n v="0"/>
    <n v="153"/>
    <n v="917"/>
    <n v="0"/>
    <s v="Female"/>
    <x v="3"/>
    <x v="3"/>
    <x v="14"/>
  </r>
  <r>
    <d v="2026-07-28T00:00:00"/>
    <x v="1"/>
    <x v="6"/>
    <n v="2597.4"/>
    <n v="37"/>
    <n v="4"/>
    <n v="114"/>
    <n v="563"/>
    <n v="0"/>
    <s v="Male"/>
    <x v="3"/>
    <x v="2"/>
    <x v="14"/>
  </r>
  <r>
    <d v="2026-07-29T00:00:00"/>
    <x v="1"/>
    <x v="6"/>
    <n v="3663"/>
    <n v="33"/>
    <n v="6"/>
    <n v="371"/>
    <n v="486"/>
    <n v="0"/>
    <s v="Female"/>
    <x v="1"/>
    <x v="2"/>
    <x v="14"/>
  </r>
  <r>
    <d v="2026-07-30T00:00:00"/>
    <x v="1"/>
    <x v="6"/>
    <n v="3595.5"/>
    <n v="39"/>
    <n v="21"/>
    <n v="275"/>
    <n v="1232"/>
    <n v="0"/>
    <s v="Female"/>
    <x v="3"/>
    <x v="0"/>
    <x v="6"/>
  </r>
  <r>
    <d v="2026-07-31T00:00:00"/>
    <x v="1"/>
    <x v="6"/>
    <n v="1822.5"/>
    <n v="20"/>
    <n v="27"/>
    <n v="74"/>
    <n v="1361"/>
    <n v="0"/>
    <s v="Female"/>
    <x v="2"/>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4A41E67-F89E-4EC2-B354-AEB50C7CB3FD}" name="ptMonthlyViewsTrend"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F16" firstHeaderRow="0" firstDataRow="1" firstDataCol="1"/>
  <pivotFields count="13">
    <pivotField compact="0" numFmtId="165" outline="0" showAll="0"/>
    <pivotField compact="0" outline="0" showAll="0">
      <items count="3">
        <item x="0"/>
        <item x="1"/>
        <item t="default"/>
      </items>
    </pivotField>
    <pivotField axis="axisRow" compact="0" outline="0" showAll="0">
      <items count="13">
        <item x="0"/>
        <item x="1"/>
        <item x="2"/>
        <item x="3"/>
        <item x="4"/>
        <item x="5"/>
        <item x="6"/>
        <item x="7"/>
        <item x="8"/>
        <item x="9"/>
        <item x="10"/>
        <item x="11"/>
        <item t="default"/>
      </items>
    </pivotField>
    <pivotField dataField="1" compact="0" outline="0" showAll="0"/>
    <pivotField dataField="1" compact="0" outline="0" showAll="0"/>
    <pivotField dataField="1" compact="0" outline="0" showAll="0"/>
    <pivotField dataField="1" compact="0" outline="0" showAll="0"/>
    <pivotField dataField="1" compact="0" numFmtId="168" outline="0" showAll="0"/>
    <pivotField compact="0" outline="0" showAll="0"/>
    <pivotField compact="0" outline="0" showAll="0"/>
    <pivotField compact="0" outline="0" showAll="0"/>
    <pivotField compact="0" outline="0" showAll="0"/>
    <pivotField compact="0" outline="0" showAll="0"/>
  </pivotFields>
  <rowFields count="1">
    <field x="2"/>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Total Views" fld="3" baseField="0" baseItem="0" numFmtId="3"/>
    <dataField name="Total Subscribers" fld="5" baseField="0" baseItem="0" numFmtId="3"/>
    <dataField name="Total Watch Time Hours" fld="6" baseField="0" baseItem="0" numFmtId="3"/>
    <dataField name="Estimated Revenue" fld="7" baseField="0" baseItem="0" numFmtId="168"/>
    <dataField name="Avg View Duration" fld="4" subtotal="average" baseField="0" baseItem="0" numFmtId="169"/>
  </dataFields>
  <formats count="14">
    <format dxfId="13">
      <pivotArea outline="0" fieldPosition="0">
        <references count="2">
          <reference field="4294967294" count="1" selected="0">
            <x v="0"/>
          </reference>
          <reference field="2" count="0" selected="0"/>
        </references>
      </pivotArea>
    </format>
    <format dxfId="12">
      <pivotArea field="2" grandRow="1" outline="0" axis="axisRow" fieldPosition="0">
        <references count="1">
          <reference field="4294967294" count="1" selected="0">
            <x v="1"/>
          </reference>
        </references>
      </pivotArea>
    </format>
    <format dxfId="11">
      <pivotArea field="2" grandRow="1" outline="0" axis="axisRow" fieldPosition="0">
        <references count="1">
          <reference field="4294967294" count="1" selected="0">
            <x v="2"/>
          </reference>
        </references>
      </pivotArea>
    </format>
    <format dxfId="10">
      <pivotArea field="2" grandRow="1" outline="0" axis="axisRow" fieldPosition="0">
        <references count="1">
          <reference field="4294967294" count="1" selected="0">
            <x v="3"/>
          </reference>
        </references>
      </pivotArea>
    </format>
    <format dxfId="9">
      <pivotArea field="2" grandRow="1" outline="0" axis="axisRow" fieldPosition="0">
        <references count="1">
          <reference field="4294967294" count="1" selected="0">
            <x v="0"/>
          </reference>
        </references>
      </pivotArea>
    </format>
    <format dxfId="8">
      <pivotArea outline="0" fieldPosition="0">
        <references count="2">
          <reference field="4294967294" count="1" selected="0">
            <x v="2"/>
          </reference>
          <reference field="2" count="0" selected="0"/>
        </references>
      </pivotArea>
    </format>
    <format dxfId="7">
      <pivotArea outline="0" fieldPosition="0">
        <references count="2">
          <reference field="4294967294" count="1" selected="0">
            <x v="1"/>
          </reference>
          <reference field="2" count="0" selected="0"/>
        </references>
      </pivotArea>
    </format>
    <format dxfId="6">
      <pivotArea outline="0" fieldPosition="0">
        <references count="2">
          <reference field="4294967294" count="1" selected="0">
            <x v="3"/>
          </reference>
          <reference field="2" count="0" selected="0"/>
        </references>
      </pivotArea>
    </format>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outline="0" fieldPosition="0">
        <references count="1">
          <reference field="2" count="0"/>
        </references>
      </pivotArea>
    </format>
    <format dxfId="1">
      <pivotArea dataOnly="0" labelOnly="1" grandRow="1" outline="0" fieldPosition="0"/>
    </format>
    <format dxfId="0">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78D1C40-15F1-45BD-B765-DAFE74911390}" name="Monthly Views Trend"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21">
  <location ref="T3:V16" firstHeaderRow="1" firstDataRow="2" firstDataCol="1"/>
  <pivotFields count="13">
    <pivotField compact="0" numFmtId="165" outline="0" showAll="0"/>
    <pivotField axis="axisCol" compact="0" outline="0" showAll="0">
      <items count="3">
        <item x="0"/>
        <item x="1"/>
        <item t="default"/>
      </items>
    </pivotField>
    <pivotField axis="axisRow" compact="0" outline="0" showAll="0">
      <items count="13">
        <item x="0"/>
        <item x="1"/>
        <item x="2"/>
        <item x="3"/>
        <item x="4"/>
        <item x="5"/>
        <item x="6"/>
        <item x="7"/>
        <item x="8"/>
        <item x="9"/>
        <item x="10"/>
        <item x="11"/>
        <item t="default"/>
      </items>
    </pivotField>
    <pivotField dataField="1" compact="0" outline="0" showAll="0"/>
    <pivotField compact="0" outline="0" showAll="0"/>
    <pivotField compact="0" outline="0" showAll="0"/>
    <pivotField compact="0" outline="0" showAll="0"/>
    <pivotField compact="0" numFmtId="168" outline="0" showAll="0"/>
    <pivotField compact="0" outline="0" showAll="0"/>
    <pivotField compact="0" outline="0" showAll="0"/>
    <pivotField compact="0" outline="0" showAll="0"/>
    <pivotField compact="0" outline="0" showAll="0"/>
    <pivotField compact="0" outline="0" showAll="0"/>
  </pivotFields>
  <rowFields count="1">
    <field x="2"/>
  </rowFields>
  <rowItems count="12">
    <i>
      <x/>
    </i>
    <i>
      <x v="1"/>
    </i>
    <i>
      <x v="2"/>
    </i>
    <i>
      <x v="3"/>
    </i>
    <i>
      <x v="4"/>
    </i>
    <i>
      <x v="5"/>
    </i>
    <i>
      <x v="6"/>
    </i>
    <i>
      <x v="7"/>
    </i>
    <i>
      <x v="8"/>
    </i>
    <i>
      <x v="9"/>
    </i>
    <i>
      <x v="10"/>
    </i>
    <i>
      <x v="11"/>
    </i>
  </rowItems>
  <colFields count="1">
    <field x="1"/>
  </colFields>
  <colItems count="2">
    <i>
      <x/>
    </i>
    <i>
      <x v="1"/>
    </i>
  </colItems>
  <dataFields count="1">
    <dataField name="Total Views" fld="3" baseField="0" baseItem="0" numFmtId="3"/>
  </dataFields>
  <formats count="10">
    <format dxfId="23">
      <pivotArea outline="0" fieldPosition="0">
        <references count="1">
          <reference field="1" count="1" selected="0">
            <x v="0"/>
          </reference>
        </references>
      </pivotArea>
    </format>
    <format dxfId="22">
      <pivotArea outline="0" fieldPosition="0">
        <references count="2">
          <reference field="1" count="1" selected="0">
            <x v="1"/>
          </reference>
          <reference field="2" count="7" selected="0">
            <x v="0"/>
            <x v="1"/>
            <x v="2"/>
            <x v="3"/>
            <x v="4"/>
            <x v="5"/>
            <x v="6"/>
          </reference>
        </references>
      </pivotArea>
    </format>
    <format dxfId="21">
      <pivotArea type="all" dataOnly="0" outline="0" fieldPosition="0"/>
    </format>
    <format dxfId="20">
      <pivotArea outline="0" collapsedLevelsAreSubtotals="1" fieldPosition="0"/>
    </format>
    <format dxfId="19">
      <pivotArea type="origin" dataOnly="0" labelOnly="1" outline="0" fieldPosition="0"/>
    </format>
    <format dxfId="18">
      <pivotArea field="1" type="button" dataOnly="0" labelOnly="1" outline="0" axis="axisCol" fieldPosition="0"/>
    </format>
    <format dxfId="17">
      <pivotArea type="topRight" dataOnly="0" labelOnly="1" outline="0" fieldPosition="0"/>
    </format>
    <format dxfId="16">
      <pivotArea field="2" type="button" dataOnly="0" labelOnly="1" outline="0" axis="axisRow" fieldPosition="0"/>
    </format>
    <format dxfId="15">
      <pivotArea dataOnly="0" labelOnly="1" outline="0" fieldPosition="0">
        <references count="1">
          <reference field="2" count="0"/>
        </references>
      </pivotArea>
    </format>
    <format dxfId="14">
      <pivotArea dataOnly="0" labelOnly="1" outline="0" fieldPosition="0">
        <references count="1">
          <reference field="1" count="0"/>
        </references>
      </pivotArea>
    </format>
  </formats>
  <chartFormats count="3">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2400FF-0010-4F35-9B25-2A0B6081CEEC}" name="ptRevenueByCountry"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Q3:R19" firstHeaderRow="1" firstDataRow="1" firstDataCol="1"/>
  <pivotFields count="13">
    <pivotField compact="0" numFmtId="165" outline="0" showAll="0"/>
    <pivotField compact="0" outline="0" showAll="0">
      <items count="3">
        <item x="0"/>
        <item x="1"/>
        <item t="default"/>
      </items>
    </pivotField>
    <pivotField compact="0" outline="0" showAll="0">
      <items count="13">
        <item x="0"/>
        <item x="1"/>
        <item x="2"/>
        <item x="3"/>
        <item x="4"/>
        <item x="5"/>
        <item x="6"/>
        <item x="7"/>
        <item x="8"/>
        <item x="9"/>
        <item x="10"/>
        <item x="11"/>
        <item t="default"/>
      </items>
    </pivotField>
    <pivotField compact="0" outline="0" showAll="0"/>
    <pivotField compact="0" outline="0" showAll="0"/>
    <pivotField compact="0" outline="0" showAll="0"/>
    <pivotField compact="0" outline="0" showAll="0"/>
    <pivotField dataField="1" compact="0" numFmtId="168" outline="0" showAll="0"/>
    <pivotField compact="0" outline="0" showAll="0"/>
    <pivotField compact="0" outline="0" showAll="0"/>
    <pivotField compact="0" outline="0" showAll="0"/>
    <pivotField compact="0" outline="0" showAll="0"/>
    <pivotField axis="axisRow" compact="0" outline="0" showAll="0" sortType="descending">
      <items count="16">
        <item x="4"/>
        <item x="7"/>
        <item x="2"/>
        <item x="8"/>
        <item x="6"/>
        <item x="1"/>
        <item x="9"/>
        <item x="5"/>
        <item x="10"/>
        <item x="11"/>
        <item x="12"/>
        <item x="14"/>
        <item x="13"/>
        <item x="3"/>
        <item x="0"/>
        <item t="default"/>
      </items>
      <autoSortScope>
        <pivotArea dataOnly="0" outline="0" fieldPosition="0">
          <references count="1">
            <reference field="4294967294" count="1" selected="0">
              <x v="0"/>
            </reference>
          </references>
        </pivotArea>
      </autoSortScope>
    </pivotField>
  </pivotFields>
  <rowFields count="1">
    <field x="12"/>
  </rowFields>
  <rowItems count="16">
    <i>
      <x v="14"/>
    </i>
    <i>
      <x v="5"/>
    </i>
    <i>
      <x v="2"/>
    </i>
    <i>
      <x v="4"/>
    </i>
    <i>
      <x v="13"/>
    </i>
    <i>
      <x/>
    </i>
    <i>
      <x v="6"/>
    </i>
    <i>
      <x v="3"/>
    </i>
    <i>
      <x v="7"/>
    </i>
    <i>
      <x v="1"/>
    </i>
    <i>
      <x v="8"/>
    </i>
    <i>
      <x v="9"/>
    </i>
    <i>
      <x v="10"/>
    </i>
    <i>
      <x v="12"/>
    </i>
    <i>
      <x v="11"/>
    </i>
    <i t="grand">
      <x/>
    </i>
  </rowItems>
  <colItems count="1">
    <i/>
  </colItems>
  <dataFields count="1">
    <dataField name="Total Revenue" fld="7" baseField="0" baseItem="0" numFmtId="168"/>
  </dataFields>
  <formats count="7">
    <format dxfId="30">
      <pivotArea outline="0" fieldPosition="0">
        <references count="1">
          <reference field="12" count="0" selected="0"/>
        </references>
      </pivotArea>
    </format>
    <format dxfId="29">
      <pivotArea type="all" dataOnly="0" outline="0" fieldPosition="0"/>
    </format>
    <format dxfId="28">
      <pivotArea outline="0" collapsedLevelsAreSubtotals="1" fieldPosition="0"/>
    </format>
    <format dxfId="27">
      <pivotArea field="12" type="button" dataOnly="0" labelOnly="1" outline="0" axis="axisRow" fieldPosition="0"/>
    </format>
    <format dxfId="26">
      <pivotArea dataOnly="0" labelOnly="1" outline="0" fieldPosition="0">
        <references count="1">
          <reference field="12" count="0"/>
        </references>
      </pivotArea>
    </format>
    <format dxfId="25">
      <pivotArea dataOnly="0" labelOnly="1" grandRow="1" outline="0" fieldPosition="0"/>
    </format>
    <format dxfId="24">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25508D-6AAD-432B-85EE-B14DDFB174C6}" name="ptSubscriberGrowthAnalysi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N3:O16" firstHeaderRow="1" firstDataRow="1" firstDataCol="1"/>
  <pivotFields count="13">
    <pivotField compact="0" numFmtId="165" outline="0" showAll="0"/>
    <pivotField compact="0" outline="0" showAll="0">
      <items count="3">
        <item x="0"/>
        <item x="1"/>
        <item t="default"/>
      </items>
    </pivotField>
    <pivotField axis="axisRow" compact="0" outline="0" showAll="0">
      <items count="13">
        <item x="0"/>
        <item x="1"/>
        <item x="2"/>
        <item x="3"/>
        <item x="4"/>
        <item x="5"/>
        <item x="6"/>
        <item x="7"/>
        <item x="8"/>
        <item x="9"/>
        <item x="10"/>
        <item x="11"/>
        <item t="default"/>
      </items>
    </pivotField>
    <pivotField compact="0" outline="0" showAll="0"/>
    <pivotField compact="0" outline="0" showAll="0"/>
    <pivotField dataField="1" compact="0" outline="0" showAll="0"/>
    <pivotField compact="0" outline="0" showAll="0"/>
    <pivotField compact="0" numFmtId="168" outline="0" showAll="0"/>
    <pivotField compact="0" outline="0" showAll="0"/>
    <pivotField compact="0" outline="0" showAll="0"/>
    <pivotField compact="0" outline="0" showAll="0"/>
    <pivotField compact="0" outline="0" showAll="0"/>
    <pivotField compact="0" outline="0" showAll="0"/>
  </pivotFields>
  <rowFields count="1">
    <field x="2"/>
  </rowFields>
  <rowItems count="13">
    <i>
      <x/>
    </i>
    <i>
      <x v="1"/>
    </i>
    <i>
      <x v="2"/>
    </i>
    <i>
      <x v="3"/>
    </i>
    <i>
      <x v="4"/>
    </i>
    <i>
      <x v="5"/>
    </i>
    <i>
      <x v="6"/>
    </i>
    <i>
      <x v="7"/>
    </i>
    <i>
      <x v="8"/>
    </i>
    <i>
      <x v="9"/>
    </i>
    <i>
      <x v="10"/>
    </i>
    <i>
      <x v="11"/>
    </i>
    <i t="grand">
      <x/>
    </i>
  </rowItems>
  <colItems count="1">
    <i/>
  </colItems>
  <dataFields count="1">
    <dataField name="Total Subscribers Gained" fld="5" baseField="0" baseItem="0" numFmtId="170"/>
  </dataFields>
  <formats count="7">
    <format dxfId="37">
      <pivotArea outline="0" collapsedLevelsAreSubtotals="1" fieldPosition="0"/>
    </format>
    <format dxfId="36">
      <pivotArea type="all" dataOnly="0" outline="0" fieldPosition="0"/>
    </format>
    <format dxfId="35">
      <pivotArea outline="0" collapsedLevelsAreSubtotals="1" fieldPosition="0"/>
    </format>
    <format dxfId="34">
      <pivotArea field="2" type="button" dataOnly="0" labelOnly="1" outline="0" axis="axisRow" fieldPosition="0"/>
    </format>
    <format dxfId="33">
      <pivotArea dataOnly="0" labelOnly="1" outline="0" fieldPosition="0">
        <references count="1">
          <reference field="2" count="0"/>
        </references>
      </pivotArea>
    </format>
    <format dxfId="32">
      <pivotArea dataOnly="0" labelOnly="1" grandRow="1" outline="0" fieldPosition="0"/>
    </format>
    <format dxfId="31">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2520725-A292-4442-98F0-B420909DD4D4}" name="ptDeviceTypePerformance"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K3:L8" firstHeaderRow="1" firstDataRow="1" firstDataCol="1"/>
  <pivotFields count="13">
    <pivotField compact="0" numFmtId="165" outline="0" showAll="0"/>
    <pivotField compact="0" outline="0" showAll="0">
      <items count="3">
        <item x="0"/>
        <item x="1"/>
        <item t="default"/>
      </items>
    </pivotField>
    <pivotField compact="0" outline="0" showAll="0">
      <items count="13">
        <item x="0"/>
        <item x="1"/>
        <item x="2"/>
        <item x="3"/>
        <item x="4"/>
        <item x="5"/>
        <item x="6"/>
        <item x="7"/>
        <item x="8"/>
        <item x="9"/>
        <item x="10"/>
        <item x="11"/>
        <item t="default"/>
      </items>
    </pivotField>
    <pivotField dataField="1" compact="0" outline="0" showAll="0"/>
    <pivotField compact="0" outline="0" showAll="0"/>
    <pivotField compact="0" outline="0" showAll="0"/>
    <pivotField compact="0" outline="0" showAll="0"/>
    <pivotField compact="0" numFmtId="168" outline="0" showAll="0"/>
    <pivotField compact="0" outline="0" showAll="0"/>
    <pivotField compact="0" outline="0" showAll="0"/>
    <pivotField axis="axisRow" compact="0" outline="0" showAll="0">
      <items count="5">
        <item x="1"/>
        <item x="0"/>
        <item x="2"/>
        <item x="3"/>
        <item t="default"/>
      </items>
    </pivotField>
    <pivotField compact="0" outline="0" showAll="0"/>
    <pivotField compact="0" outline="0" showAll="0"/>
  </pivotFields>
  <rowFields count="1">
    <field x="10"/>
  </rowFields>
  <rowItems count="5">
    <i>
      <x/>
    </i>
    <i>
      <x v="1"/>
    </i>
    <i>
      <x v="2"/>
    </i>
    <i>
      <x v="3"/>
    </i>
    <i t="grand">
      <x/>
    </i>
  </rowItems>
  <colItems count="1">
    <i/>
  </colItems>
  <dataFields count="1">
    <dataField name="Total Views" fld="3" baseField="0" baseItem="0" numFmtId="170"/>
  </dataFields>
  <formats count="8">
    <format dxfId="45">
      <pivotArea outline="0" collapsedLevelsAreSubtotals="1" fieldPosition="0"/>
    </format>
    <format dxfId="44">
      <pivotArea grandRow="1" outline="0" collapsedLevelsAreSubtotals="1" fieldPosition="0"/>
    </format>
    <format dxfId="43">
      <pivotArea type="all" dataOnly="0" outline="0" fieldPosition="0"/>
    </format>
    <format dxfId="42">
      <pivotArea outline="0" collapsedLevelsAreSubtotals="1" fieldPosition="0"/>
    </format>
    <format dxfId="41">
      <pivotArea field="10" type="button" dataOnly="0" labelOnly="1" outline="0" axis="axisRow" fieldPosition="0"/>
    </format>
    <format dxfId="40">
      <pivotArea dataOnly="0" labelOnly="1" outline="0" fieldPosition="0">
        <references count="1">
          <reference field="10" count="0"/>
        </references>
      </pivotArea>
    </format>
    <format dxfId="39">
      <pivotArea dataOnly="0" labelOnly="1" grandRow="1" outline="0" fieldPosition="0"/>
    </format>
    <format dxfId="38">
      <pivotArea dataOnly="0" labelOnly="1" outline="0" axis="axisValues" fieldPosition="0"/>
    </format>
  </formats>
  <chartFormats count="4">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0" count="1" selected="0">
            <x v="0"/>
          </reference>
        </references>
      </pivotArea>
    </chartFormat>
    <chartFormat chart="0" format="2">
      <pivotArea type="data" outline="0" fieldPosition="0">
        <references count="2">
          <reference field="4294967294" count="1" selected="0">
            <x v="0"/>
          </reference>
          <reference field="10" count="1" selected="0">
            <x v="2"/>
          </reference>
        </references>
      </pivotArea>
    </chartFormat>
    <chartFormat chart="0" format="3">
      <pivotArea type="data" outline="0" fieldPosition="0">
        <references count="2">
          <reference field="4294967294" count="1" selected="0">
            <x v="0"/>
          </reference>
          <reference field="10"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5C66A0A-1ABE-4605-81BC-EF3705B3576E}" name="ptTrafficSourceAnalysis"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2">
  <location ref="H3:I10" firstHeaderRow="1" firstDataRow="1" firstDataCol="1"/>
  <pivotFields count="13">
    <pivotField compact="0" numFmtId="165" outline="0" showAll="0"/>
    <pivotField compact="0" outline="0" showAll="0">
      <items count="3">
        <item x="0"/>
        <item x="1"/>
        <item t="default"/>
      </items>
    </pivotField>
    <pivotField compact="0" outline="0" showAll="0">
      <items count="13">
        <item x="0"/>
        <item x="1"/>
        <item x="2"/>
        <item x="3"/>
        <item x="4"/>
        <item x="5"/>
        <item x="6"/>
        <item x="7"/>
        <item x="8"/>
        <item x="9"/>
        <item x="10"/>
        <item x="11"/>
        <item t="default"/>
      </items>
    </pivotField>
    <pivotField dataField="1" compact="0" outline="0" showAll="0"/>
    <pivotField compact="0" outline="0" showAll="0"/>
    <pivotField compact="0" outline="0" showAll="0"/>
    <pivotField compact="0" outline="0" showAll="0"/>
    <pivotField compact="0" numFmtId="168" outline="0" showAll="0"/>
    <pivotField compact="0" outline="0" showAll="0"/>
    <pivotField compact="0" outline="0" showAll="0"/>
    <pivotField compact="0" outline="0" showAll="0"/>
    <pivotField axis="axisRow" compact="0" outline="0" showAll="0">
      <items count="7">
        <item x="1"/>
        <item x="5"/>
        <item x="3"/>
        <item x="4"/>
        <item x="2"/>
        <item x="0"/>
        <item t="default"/>
      </items>
    </pivotField>
    <pivotField compact="0" outline="0" showAll="0"/>
  </pivotFields>
  <rowFields count="1">
    <field x="11"/>
  </rowFields>
  <rowItems count="7">
    <i>
      <x/>
    </i>
    <i>
      <x v="1"/>
    </i>
    <i>
      <x v="2"/>
    </i>
    <i>
      <x v="3"/>
    </i>
    <i>
      <x v="4"/>
    </i>
    <i>
      <x v="5"/>
    </i>
    <i t="grand">
      <x/>
    </i>
  </rowItems>
  <colItems count="1">
    <i/>
  </colItems>
  <dataFields count="1">
    <dataField name="Total Views" fld="3" baseField="0" baseItem="0" numFmtId="3"/>
  </dataFields>
  <formats count="8">
    <format dxfId="53">
      <pivotArea outline="0" fieldPosition="0">
        <references count="1">
          <reference field="11" count="0" selected="0"/>
        </references>
      </pivotArea>
    </format>
    <format dxfId="52">
      <pivotArea grandRow="1" outline="0" collapsedLevelsAreSubtotals="1" fieldPosition="0"/>
    </format>
    <format dxfId="51">
      <pivotArea type="all" dataOnly="0" outline="0" fieldPosition="0"/>
    </format>
    <format dxfId="50">
      <pivotArea outline="0" collapsedLevelsAreSubtotals="1" fieldPosition="0"/>
    </format>
    <format dxfId="49">
      <pivotArea field="11" type="button" dataOnly="0" labelOnly="1" outline="0" axis="axisRow" fieldPosition="0"/>
    </format>
    <format dxfId="48">
      <pivotArea dataOnly="0" labelOnly="1" outline="0" fieldPosition="0">
        <references count="1">
          <reference field="11" count="0"/>
        </references>
      </pivotArea>
    </format>
    <format dxfId="47">
      <pivotArea dataOnly="0" labelOnly="1" grandRow="1" outline="0" fieldPosition="0"/>
    </format>
    <format dxfId="46">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1" count="1" selected="0">
            <x v="0"/>
          </reference>
        </references>
      </pivotArea>
    </chartFormat>
    <chartFormat chart="0" format="2">
      <pivotArea type="data" outline="0" fieldPosition="0">
        <references count="2">
          <reference field="4294967294" count="1" selected="0">
            <x v="0"/>
          </reference>
          <reference field="11" count="1" selected="0">
            <x v="1"/>
          </reference>
        </references>
      </pivotArea>
    </chartFormat>
    <chartFormat chart="0" format="3">
      <pivotArea type="data" outline="0" fieldPosition="0">
        <references count="2">
          <reference field="4294967294" count="1" selected="0">
            <x v="0"/>
          </reference>
          <reference field="11" count="1" selected="0">
            <x v="2"/>
          </reference>
        </references>
      </pivotArea>
    </chartFormat>
    <chartFormat chart="0" format="4">
      <pivotArea type="data" outline="0" fieldPosition="0">
        <references count="2">
          <reference field="4294967294" count="1" selected="0">
            <x v="0"/>
          </reference>
          <reference field="11" count="1" selected="0">
            <x v="3"/>
          </reference>
        </references>
      </pivotArea>
    </chartFormat>
    <chartFormat chart="0" format="5">
      <pivotArea type="data" outline="0" fieldPosition="0">
        <references count="2">
          <reference field="4294967294" count="1" selected="0">
            <x v="0"/>
          </reference>
          <reference field="11" count="1" selected="0">
            <x v="4"/>
          </reference>
        </references>
      </pivotArea>
    </chartFormat>
    <chartFormat chart="0" format="6">
      <pivotArea type="data" outline="0" fieldPosition="0">
        <references count="2">
          <reference field="4294967294" count="1" selected="0">
            <x v="0"/>
          </reference>
          <reference field="11" count="1" selected="0">
            <x v="5"/>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Year" xr10:uid="{FF001340-EE1C-46FB-8181-960C1C39F7C8}" sourceName="Year">
  <pivotTables>
    <pivotTable tabId="4" name="ptMonthlyViewsTrend"/>
    <pivotTable tabId="4" name="ptTrafficSourceAnalysis"/>
    <pivotTable tabId="4" name="ptDeviceTypePerformance"/>
    <pivotTable tabId="4" name="ptSubscriberGrowthAnalysis"/>
    <pivotTable tabId="4" name="ptRevenueByCountry"/>
    <pivotTable tabId="4" name="Monthly Views Trend"/>
  </pivotTables>
  <data>
    <tabular pivotCacheId="100556708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Month" xr10:uid="{0B52D752-2724-46B7-BD67-F19C1A85842A}" sourceName="Month">
  <pivotTables>
    <pivotTable tabId="4" name="ptMonthlyViewsTrend"/>
    <pivotTable tabId="4" name="ptTrafficSourceAnalysis"/>
    <pivotTable tabId="4" name="ptDeviceTypePerformance"/>
    <pivotTable tabId="4" name="ptSubscriberGrowthAnalysis"/>
    <pivotTable tabId="4" name="ptRevenueByCountry"/>
    <pivotTable tabId="4" name="Monthly Views Trend"/>
  </pivotTables>
  <data>
    <tabular pivotCacheId="1005567086">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liYear_Obj" xr10:uid="{0B5E5EA7-0D41-4B90-AB83-08A95C8BF19E}" cache="sliYear" caption="Year" style="Slicer Style 2" rowHeight="360000"/>
  <slicer name="sliMonth_Obj" xr10:uid="{F31FEBBC-FCD7-40F5-9345-08D661351298}" cache="sliMonth" caption="Month" style="Slicer Style 2" rowHeight="3600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ECC5199-84BF-4935-BC90-FE40AF969758}" name="Table2" displayName="Table2" ref="A1:L578" totalsRowShown="0" headerRowDxfId="69" dataDxfId="68">
  <autoFilter ref="A1:L578" xr:uid="{35C4D995-31F4-4820-B052-A1DB1288701E}"/>
  <tableColumns count="12">
    <tableColumn id="1" xr3:uid="{F655B1D1-68F0-4931-9445-93EBCFC034EF}" name="Date" dataDxfId="67"/>
    <tableColumn id="2" xr3:uid="{774222EA-8447-4D06-94B6-80095F83B9C9}" name="Month" dataDxfId="66"/>
    <tableColumn id="3" xr3:uid="{3ADE52D8-7260-451D-863B-C21DA4AEC0DB}" name="Views" dataDxfId="65"/>
    <tableColumn id="4" xr3:uid="{605EA6E0-5D1A-46E9-8736-9761D2F2296F}" name="Average View duration" dataDxfId="64"/>
    <tableColumn id="5" xr3:uid="{9B0B4218-DD80-4AB8-A3B5-92F6250848E2}" name="Subscribers Gained" dataDxfId="63"/>
    <tableColumn id="6" xr3:uid="{D14B3DAB-476B-4FCC-A29A-3D451F098AD1}" name="Watch Time Hours" dataDxfId="62"/>
    <tableColumn id="7" xr3:uid="{5F426277-2FCE-4AE9-B0D1-AE479464CCBB}" name="Revenue $" dataDxfId="61"/>
    <tableColumn id="8" xr3:uid="{524C92B8-4099-4667-8FA3-5877193028A3}" name="Age Group" dataDxfId="60"/>
    <tableColumn id="9" xr3:uid="{916A8437-5EDC-4ED1-BF76-AEFCB90AFCEC}" name="Gender" dataDxfId="59"/>
    <tableColumn id="10" xr3:uid="{0E2BD5C5-674C-4CD6-8C11-F139AD38F40D}" name="Device" dataDxfId="58"/>
    <tableColumn id="11" xr3:uid="{855BB137-71E4-435B-83B8-034D04CC7CFD}" name="Source" dataDxfId="57"/>
    <tableColumn id="12" xr3:uid="{503A693A-9EC9-4FDE-BDE7-8499A56883F5}" name="Country" dataDxfId="56"/>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6225DB5-17C4-48A4-BE59-99BA76249AAF}" name="tblYouTubeDashboardSource" displayName="tblYouTubeDashboardSource" ref="A1:M578" totalsRowShown="0">
  <autoFilter ref="A1:M578" xr:uid="{96225DB5-17C4-48A4-BE59-99BA76249AAF}"/>
  <tableColumns count="13">
    <tableColumn id="1" xr3:uid="{E9839C93-EB6C-415A-9188-C00F36A320BB}" name="Date" dataDxfId="55"/>
    <tableColumn id="2" xr3:uid="{1A99366E-F65F-4DFF-AB48-DADF47EE0568}" name="Year"/>
    <tableColumn id="3" xr3:uid="{3F22CD5A-73C7-45B6-8BC6-8BC17F318557}" name="Month"/>
    <tableColumn id="4" xr3:uid="{4A813DE8-BAD6-4D36-ACA7-8F557DAA0D67}" name="Views"/>
    <tableColumn id="5" xr3:uid="{78FF3C17-F3B2-4AFE-A19A-5ABDE0301D4C}" name="Average View duration"/>
    <tableColumn id="6" xr3:uid="{82AF001A-31B3-4AEE-B49E-7F0556805DF2}" name="Subscribers Gained"/>
    <tableColumn id="7" xr3:uid="{64D8E2A5-8C21-4916-B606-7DBDC0E8DAE4}" name="Watch Time Hours"/>
    <tableColumn id="8" xr3:uid="{5500EDE1-A265-4AAC-8358-B1B75964C3F5}" name="Revenue $" dataDxfId="54"/>
    <tableColumn id="9" xr3:uid="{F28B4BF2-04DE-4F3D-ABD9-DF99BA2B0099}" name="Age Group"/>
    <tableColumn id="10" xr3:uid="{28B42B05-9833-4A16-A06B-DFA5908B804D}" name="Gender"/>
    <tableColumn id="11" xr3:uid="{F94EBC7A-953C-4962-9207-BE23FAC5B148}" name="Device"/>
    <tableColumn id="12" xr3:uid="{ABE82E6E-1275-4BFC-A801-1E3002F22C0A}" name="Source"/>
    <tableColumn id="13" xr3:uid="{BE4F83CE-1EA7-4D2C-B19E-37D31B09DE7A}" name="Country"/>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D73DAD-E0D6-479D-9238-D01146990D80}">
  <dimension ref="F4:G12"/>
  <sheetViews>
    <sheetView showGridLines="0" tabSelected="1" topLeftCell="D1" workbookViewId="0">
      <selection activeCell="F2" sqref="F2"/>
    </sheetView>
  </sheetViews>
  <sheetFormatPr defaultRowHeight="15" x14ac:dyDescent="0.25"/>
  <cols>
    <col min="7" max="7" width="62.85546875" bestFit="1" customWidth="1"/>
  </cols>
  <sheetData>
    <row r="4" spans="6:7" ht="15.75" thickBot="1" x14ac:dyDescent="0.3"/>
    <row r="5" spans="6:7" x14ac:dyDescent="0.25">
      <c r="F5" s="41" t="s">
        <v>444</v>
      </c>
      <c r="G5" s="42"/>
    </row>
    <row r="6" spans="6:7" ht="15.75" thickBot="1" x14ac:dyDescent="0.3">
      <c r="F6" s="43"/>
      <c r="G6" s="44"/>
    </row>
    <row r="7" spans="6:7" x14ac:dyDescent="0.25">
      <c r="F7" s="31" t="s">
        <v>437</v>
      </c>
      <c r="G7" s="31" t="s">
        <v>438</v>
      </c>
    </row>
    <row r="8" spans="6:7" x14ac:dyDescent="0.25">
      <c r="F8" s="32" t="s">
        <v>439</v>
      </c>
      <c r="G8" s="34" t="s">
        <v>445</v>
      </c>
    </row>
    <row r="9" spans="6:7" x14ac:dyDescent="0.25">
      <c r="F9" s="32" t="s">
        <v>440</v>
      </c>
      <c r="G9" s="34" t="s">
        <v>449</v>
      </c>
    </row>
    <row r="10" spans="6:7" x14ac:dyDescent="0.25">
      <c r="F10" s="32" t="s">
        <v>441</v>
      </c>
      <c r="G10" s="34" t="s">
        <v>450</v>
      </c>
    </row>
    <row r="11" spans="6:7" x14ac:dyDescent="0.25">
      <c r="F11" s="32" t="s">
        <v>442</v>
      </c>
      <c r="G11" s="34" t="s">
        <v>451</v>
      </c>
    </row>
    <row r="12" spans="6:7" ht="15.75" thickBot="1" x14ac:dyDescent="0.3">
      <c r="F12" s="33" t="s">
        <v>443</v>
      </c>
      <c r="G12" s="35" t="s">
        <v>452</v>
      </c>
    </row>
  </sheetData>
  <mergeCells count="1">
    <mergeCell ref="F5:G6"/>
  </mergeCells>
  <hyperlinks>
    <hyperlink ref="G8" location="'V1'!A1" display="RawData" xr:uid="{9119DDC4-9A72-44E0-BA9B-C34DB51DA5E5}"/>
    <hyperlink ref="G9" location="'V2'!A1" display="Highest Revenue &amp; Engagement Analysis for specific region Analysis" xr:uid="{3E26A1A2-C397-4BAC-B5CA-3F5BC574BE78}"/>
    <hyperlink ref="G10" location="'V3'!A1" display="Cleaned" xr:uid="{B42215A3-98E7-4C7A-A9E6-B9517C10D978}"/>
    <hyperlink ref="G11" location="'V4'!A1" display="Pivots Tables" xr:uid="{3E18062C-2FB7-41F3-9778-65E6D65C8709}"/>
    <hyperlink ref="G12" location="'V5'!A1" display="Pivots Charts" xr:uid="{DECC6EF3-DADE-47BE-90E3-D7570292FBD4}"/>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60CDF-BC92-4116-96BF-BBBBAF895488}">
  <dimension ref="A1:U578"/>
  <sheetViews>
    <sheetView workbookViewId="0"/>
  </sheetViews>
  <sheetFormatPr defaultRowHeight="15" x14ac:dyDescent="0.25"/>
  <cols>
    <col min="1" max="1" width="14.42578125" customWidth="1"/>
    <col min="4" max="4" width="21" customWidth="1"/>
    <col min="5" max="5" width="19.140625" customWidth="1"/>
    <col min="6" max="6" width="16.85546875" customWidth="1"/>
    <col min="7" max="7" width="14.42578125" customWidth="1"/>
    <col min="8" max="8" width="14.5703125" customWidth="1"/>
    <col min="10" max="10" width="8.42578125" customWidth="1"/>
    <col min="11" max="11" width="16.28515625" customWidth="1"/>
    <col min="12" max="12" width="14.140625" customWidth="1"/>
    <col min="15" max="15" width="9.7109375" bestFit="1" customWidth="1"/>
  </cols>
  <sheetData>
    <row r="1" spans="1:21" ht="18.75" customHeight="1" x14ac:dyDescent="0.25">
      <c r="A1" s="25" t="s">
        <v>420</v>
      </c>
      <c r="B1" s="25" t="s">
        <v>419</v>
      </c>
      <c r="C1" s="25" t="s">
        <v>418</v>
      </c>
      <c r="D1" s="25" t="s">
        <v>417</v>
      </c>
      <c r="E1" s="25" t="s">
        <v>416</v>
      </c>
      <c r="F1" s="25" t="s">
        <v>415</v>
      </c>
      <c r="G1" s="25" t="s">
        <v>414</v>
      </c>
      <c r="H1" s="25" t="s">
        <v>413</v>
      </c>
      <c r="I1" s="25" t="s">
        <v>412</v>
      </c>
      <c r="J1" s="25" t="s">
        <v>411</v>
      </c>
      <c r="K1" s="25" t="s">
        <v>410</v>
      </c>
      <c r="L1" s="1" t="s">
        <v>409</v>
      </c>
    </row>
    <row r="2" spans="1:21" x14ac:dyDescent="0.25">
      <c r="A2" s="1" t="s">
        <v>408</v>
      </c>
      <c r="B2" s="1" t="s">
        <v>34</v>
      </c>
      <c r="C2" s="1">
        <v>615</v>
      </c>
      <c r="D2" s="1">
        <v>10</v>
      </c>
      <c r="E2" s="1">
        <v>38</v>
      </c>
      <c r="F2" s="1">
        <v>212</v>
      </c>
      <c r="G2" s="24">
        <v>1580.92</v>
      </c>
      <c r="H2" s="1" t="s">
        <v>19</v>
      </c>
      <c r="I2" s="1" t="s">
        <v>13</v>
      </c>
      <c r="J2" s="1" t="s">
        <v>18</v>
      </c>
      <c r="K2" s="1" t="s">
        <v>7</v>
      </c>
      <c r="L2" s="1" t="s">
        <v>0</v>
      </c>
    </row>
    <row r="3" spans="1:21" x14ac:dyDescent="0.25">
      <c r="A3" s="1" t="s">
        <v>407</v>
      </c>
      <c r="B3" s="1" t="s">
        <v>34</v>
      </c>
      <c r="C3" s="1">
        <v>4667</v>
      </c>
      <c r="D3" s="1">
        <v>21</v>
      </c>
      <c r="E3" s="1">
        <v>0</v>
      </c>
      <c r="F3" s="1">
        <v>349</v>
      </c>
      <c r="G3" s="24">
        <v>749.5</v>
      </c>
      <c r="H3" s="1" t="s">
        <v>4</v>
      </c>
      <c r="I3" s="1" t="s">
        <v>3</v>
      </c>
      <c r="J3" s="1" t="s">
        <v>18</v>
      </c>
      <c r="K3" s="1" t="s">
        <v>1</v>
      </c>
      <c r="L3" s="1" t="s">
        <v>0</v>
      </c>
    </row>
    <row r="4" spans="1:21" x14ac:dyDescent="0.25">
      <c r="A4" s="1" t="s">
        <v>406</v>
      </c>
      <c r="B4" s="1" t="s">
        <v>34</v>
      </c>
      <c r="C4" s="1">
        <v>2218</v>
      </c>
      <c r="D4" s="1">
        <v>41</v>
      </c>
      <c r="E4" s="1">
        <v>-1</v>
      </c>
      <c r="F4" s="1">
        <v>210</v>
      </c>
      <c r="G4" s="24">
        <v>736.53</v>
      </c>
      <c r="H4" s="1" t="s">
        <v>14</v>
      </c>
      <c r="I4" s="1" t="s">
        <v>3</v>
      </c>
      <c r="J4" s="1" t="s">
        <v>11</v>
      </c>
      <c r="K4" s="1" t="s">
        <v>1</v>
      </c>
      <c r="L4" s="1" t="s">
        <v>0</v>
      </c>
    </row>
    <row r="5" spans="1:21" x14ac:dyDescent="0.25">
      <c r="A5" s="1" t="s">
        <v>405</v>
      </c>
      <c r="B5" s="1" t="s">
        <v>34</v>
      </c>
      <c r="C5" s="1">
        <v>1077</v>
      </c>
      <c r="D5" s="1">
        <v>15</v>
      </c>
      <c r="E5" s="1">
        <v>41</v>
      </c>
      <c r="F5" s="1">
        <v>40</v>
      </c>
      <c r="G5" s="24">
        <v>2059.2399999999998</v>
      </c>
      <c r="H5" s="1" t="s">
        <v>14</v>
      </c>
      <c r="I5" s="1" t="s">
        <v>13</v>
      </c>
      <c r="J5" s="1" t="s">
        <v>2</v>
      </c>
      <c r="K5" s="1" t="s">
        <v>10</v>
      </c>
      <c r="L5" s="1" t="s">
        <v>0</v>
      </c>
    </row>
    <row r="6" spans="1:21" x14ac:dyDescent="0.25">
      <c r="A6" s="1" t="s">
        <v>404</v>
      </c>
      <c r="B6" s="1" t="s">
        <v>34</v>
      </c>
      <c r="C6" s="1">
        <v>868</v>
      </c>
      <c r="D6" s="1">
        <v>10</v>
      </c>
      <c r="E6" s="1">
        <v>49</v>
      </c>
      <c r="F6" s="1">
        <v>175</v>
      </c>
      <c r="G6" s="24">
        <v>256.43</v>
      </c>
      <c r="H6" s="1" t="s">
        <v>12</v>
      </c>
      <c r="I6" s="1" t="s">
        <v>13</v>
      </c>
      <c r="J6" s="1" t="s">
        <v>18</v>
      </c>
      <c r="K6" s="1" t="s">
        <v>7</v>
      </c>
      <c r="L6" s="1" t="s">
        <v>0</v>
      </c>
    </row>
    <row r="7" spans="1:21" x14ac:dyDescent="0.25">
      <c r="A7" s="1" t="s">
        <v>403</v>
      </c>
      <c r="B7" s="1" t="s">
        <v>34</v>
      </c>
      <c r="C7" s="1">
        <v>1974</v>
      </c>
      <c r="D7" s="1">
        <v>31</v>
      </c>
      <c r="E7" s="1">
        <v>3</v>
      </c>
      <c r="F7" s="1">
        <v>161</v>
      </c>
      <c r="G7" s="24">
        <v>117</v>
      </c>
      <c r="H7" s="1" t="s">
        <v>12</v>
      </c>
      <c r="I7" s="1" t="s">
        <v>13</v>
      </c>
      <c r="J7" s="1" t="s">
        <v>18</v>
      </c>
      <c r="K7" s="1" t="s">
        <v>15</v>
      </c>
      <c r="L7" s="1" t="s">
        <v>0</v>
      </c>
      <c r="U7" s="1"/>
    </row>
    <row r="8" spans="1:21" x14ac:dyDescent="0.25">
      <c r="A8" s="1" t="s">
        <v>402</v>
      </c>
      <c r="B8" s="1" t="s">
        <v>34</v>
      </c>
      <c r="C8" s="1">
        <v>702</v>
      </c>
      <c r="D8" s="1">
        <v>22</v>
      </c>
      <c r="E8" s="1">
        <v>9</v>
      </c>
      <c r="F8" s="1">
        <v>288</v>
      </c>
      <c r="G8" s="24">
        <v>694.7</v>
      </c>
      <c r="H8" s="1" t="s">
        <v>4</v>
      </c>
      <c r="I8" s="1" t="s">
        <v>3</v>
      </c>
      <c r="J8" s="1" t="s">
        <v>18</v>
      </c>
      <c r="K8" s="1" t="s">
        <v>7</v>
      </c>
      <c r="L8" s="1" t="s">
        <v>0</v>
      </c>
    </row>
    <row r="9" spans="1:21" x14ac:dyDescent="0.25">
      <c r="A9" s="1" t="s">
        <v>401</v>
      </c>
      <c r="B9" s="1" t="s">
        <v>34</v>
      </c>
      <c r="C9" s="1">
        <v>3117</v>
      </c>
      <c r="D9" s="1">
        <v>27</v>
      </c>
      <c r="E9" s="1">
        <v>2</v>
      </c>
      <c r="F9" s="1">
        <v>142</v>
      </c>
      <c r="G9" s="24">
        <v>1330.48</v>
      </c>
      <c r="H9" s="1" t="s">
        <v>14</v>
      </c>
      <c r="I9" s="1" t="s">
        <v>13</v>
      </c>
      <c r="J9" s="1" t="s">
        <v>18</v>
      </c>
      <c r="K9" s="1" t="s">
        <v>7</v>
      </c>
      <c r="L9" s="1" t="s">
        <v>0</v>
      </c>
    </row>
    <row r="10" spans="1:21" x14ac:dyDescent="0.25">
      <c r="A10" s="1" t="s">
        <v>400</v>
      </c>
      <c r="B10" s="1" t="s">
        <v>34</v>
      </c>
      <c r="C10" s="1">
        <v>1448</v>
      </c>
      <c r="D10" s="1">
        <v>17</v>
      </c>
      <c r="E10" s="1">
        <v>28</v>
      </c>
      <c r="F10" s="1">
        <v>212</v>
      </c>
      <c r="G10" s="24">
        <v>1040.24</v>
      </c>
      <c r="H10" s="1" t="s">
        <v>29</v>
      </c>
      <c r="I10" s="1" t="s">
        <v>13</v>
      </c>
      <c r="J10" s="1" t="s">
        <v>18</v>
      </c>
      <c r="K10" s="1" t="s">
        <v>17</v>
      </c>
      <c r="L10" s="1" t="s">
        <v>0</v>
      </c>
    </row>
    <row r="11" spans="1:21" x14ac:dyDescent="0.25">
      <c r="A11" s="1" t="s">
        <v>399</v>
      </c>
      <c r="B11" s="1" t="s">
        <v>34</v>
      </c>
      <c r="C11" s="1">
        <v>707</v>
      </c>
      <c r="D11" s="1">
        <v>18</v>
      </c>
      <c r="E11" s="1">
        <v>39</v>
      </c>
      <c r="F11" s="1">
        <v>28</v>
      </c>
      <c r="G11" s="24">
        <v>1474.64</v>
      </c>
      <c r="H11" s="1" t="s">
        <v>19</v>
      </c>
      <c r="I11" s="1" t="s">
        <v>3</v>
      </c>
      <c r="J11" s="1" t="s">
        <v>18</v>
      </c>
      <c r="K11" s="1" t="s">
        <v>7</v>
      </c>
      <c r="L11" s="1" t="s">
        <v>0</v>
      </c>
    </row>
    <row r="12" spans="1:21" x14ac:dyDescent="0.25">
      <c r="A12" s="1" t="s">
        <v>398</v>
      </c>
      <c r="B12" s="1" t="s">
        <v>34</v>
      </c>
      <c r="C12" s="1">
        <v>3027</v>
      </c>
      <c r="D12" s="1">
        <v>22</v>
      </c>
      <c r="E12" s="1">
        <v>-5</v>
      </c>
      <c r="F12" s="1">
        <v>146</v>
      </c>
      <c r="G12" s="24">
        <v>1529.31</v>
      </c>
      <c r="H12" s="1" t="s">
        <v>25</v>
      </c>
      <c r="I12" s="1" t="s">
        <v>13</v>
      </c>
      <c r="J12" s="1" t="s">
        <v>18</v>
      </c>
      <c r="K12" s="1" t="s">
        <v>17</v>
      </c>
      <c r="L12" s="1" t="s">
        <v>0</v>
      </c>
    </row>
    <row r="13" spans="1:21" x14ac:dyDescent="0.25">
      <c r="A13" s="1" t="s">
        <v>397</v>
      </c>
      <c r="B13" s="1" t="s">
        <v>34</v>
      </c>
      <c r="C13" s="1">
        <v>4138</v>
      </c>
      <c r="D13" s="1">
        <v>3</v>
      </c>
      <c r="E13" s="1">
        <v>30</v>
      </c>
      <c r="F13" s="1">
        <v>97</v>
      </c>
      <c r="G13" s="24">
        <v>2309.11</v>
      </c>
      <c r="H13" s="1" t="s">
        <v>4</v>
      </c>
      <c r="I13" s="1" t="s">
        <v>13</v>
      </c>
      <c r="J13" s="1" t="s">
        <v>18</v>
      </c>
      <c r="K13" s="1" t="s">
        <v>1</v>
      </c>
      <c r="L13" s="1" t="s">
        <v>0</v>
      </c>
    </row>
    <row r="14" spans="1:21" x14ac:dyDescent="0.25">
      <c r="A14" s="1" t="s">
        <v>396</v>
      </c>
      <c r="B14" s="1" t="s">
        <v>34</v>
      </c>
      <c r="C14" s="1">
        <v>1141</v>
      </c>
      <c r="D14" s="1">
        <v>34</v>
      </c>
      <c r="E14" s="1">
        <v>6</v>
      </c>
      <c r="F14" s="1">
        <v>125</v>
      </c>
      <c r="G14" s="24">
        <v>1658.85</v>
      </c>
      <c r="H14" s="1" t="s">
        <v>12</v>
      </c>
      <c r="I14" s="1" t="s">
        <v>13</v>
      </c>
      <c r="J14" s="1" t="s">
        <v>18</v>
      </c>
      <c r="K14" s="1" t="s">
        <v>10</v>
      </c>
      <c r="L14" s="1" t="s">
        <v>0</v>
      </c>
    </row>
    <row r="15" spans="1:21" x14ac:dyDescent="0.25">
      <c r="A15" s="1" t="s">
        <v>395</v>
      </c>
      <c r="B15" s="1" t="s">
        <v>34</v>
      </c>
      <c r="C15" s="1">
        <v>1519</v>
      </c>
      <c r="D15" s="1">
        <v>9</v>
      </c>
      <c r="E15" s="1">
        <v>28</v>
      </c>
      <c r="F15" s="1">
        <v>182</v>
      </c>
      <c r="G15" s="24">
        <v>1282.2</v>
      </c>
      <c r="H15" s="1" t="s">
        <v>14</v>
      </c>
      <c r="I15" s="1" t="s">
        <v>3</v>
      </c>
      <c r="J15" s="1" t="s">
        <v>18</v>
      </c>
      <c r="K15" s="1" t="s">
        <v>15</v>
      </c>
      <c r="L15" s="1" t="s">
        <v>0</v>
      </c>
    </row>
    <row r="16" spans="1:21" x14ac:dyDescent="0.25">
      <c r="A16" s="1" t="s">
        <v>394</v>
      </c>
      <c r="B16" s="1" t="s">
        <v>34</v>
      </c>
      <c r="C16" s="1">
        <v>4487</v>
      </c>
      <c r="D16" s="1">
        <v>3</v>
      </c>
      <c r="E16" s="1">
        <v>27</v>
      </c>
      <c r="F16" s="1">
        <v>369</v>
      </c>
      <c r="G16" s="24">
        <v>1015.56</v>
      </c>
      <c r="H16" s="1" t="s">
        <v>12</v>
      </c>
      <c r="I16" s="1" t="s">
        <v>13</v>
      </c>
      <c r="J16" s="1" t="s">
        <v>11</v>
      </c>
      <c r="K16" s="1" t="s">
        <v>21</v>
      </c>
      <c r="L16" s="1" t="s">
        <v>0</v>
      </c>
    </row>
    <row r="17" spans="1:12" x14ac:dyDescent="0.25">
      <c r="A17" s="1" t="s">
        <v>393</v>
      </c>
      <c r="B17" s="1" t="s">
        <v>34</v>
      </c>
      <c r="C17" s="1">
        <v>3284</v>
      </c>
      <c r="D17" s="1">
        <v>17</v>
      </c>
      <c r="E17" s="1">
        <v>36</v>
      </c>
      <c r="F17" s="1">
        <v>444</v>
      </c>
      <c r="G17" s="24">
        <v>2376.14</v>
      </c>
      <c r="H17" s="1" t="s">
        <v>12</v>
      </c>
      <c r="I17" s="1" t="s">
        <v>13</v>
      </c>
      <c r="J17" s="1" t="s">
        <v>18</v>
      </c>
      <c r="K17" s="1" t="s">
        <v>7</v>
      </c>
      <c r="L17" s="1" t="s">
        <v>0</v>
      </c>
    </row>
    <row r="18" spans="1:12" x14ac:dyDescent="0.25">
      <c r="A18" s="1" t="s">
        <v>392</v>
      </c>
      <c r="B18" s="1" t="s">
        <v>34</v>
      </c>
      <c r="C18" s="1">
        <v>1578</v>
      </c>
      <c r="D18" s="1">
        <v>22</v>
      </c>
      <c r="E18" s="1">
        <v>17</v>
      </c>
      <c r="F18" s="1">
        <v>113</v>
      </c>
      <c r="G18" s="24">
        <v>1396.25</v>
      </c>
      <c r="H18" s="1" t="s">
        <v>14</v>
      </c>
      <c r="I18" s="1" t="s">
        <v>13</v>
      </c>
      <c r="J18" s="1" t="s">
        <v>8</v>
      </c>
      <c r="K18" s="1" t="s">
        <v>7</v>
      </c>
      <c r="L18" s="1" t="s">
        <v>0</v>
      </c>
    </row>
    <row r="19" spans="1:12" x14ac:dyDescent="0.25">
      <c r="A19" s="1" t="s">
        <v>391</v>
      </c>
      <c r="B19" s="1" t="s">
        <v>34</v>
      </c>
      <c r="C19" s="1">
        <v>4657</v>
      </c>
      <c r="D19" s="1">
        <v>36</v>
      </c>
      <c r="E19" s="1">
        <v>48</v>
      </c>
      <c r="F19" s="1">
        <v>245</v>
      </c>
      <c r="G19" s="24">
        <v>259.48</v>
      </c>
      <c r="H19" s="1" t="s">
        <v>14</v>
      </c>
      <c r="I19" s="1" t="s">
        <v>13</v>
      </c>
      <c r="J19" s="1" t="s">
        <v>18</v>
      </c>
      <c r="K19" s="1" t="s">
        <v>15</v>
      </c>
      <c r="L19" s="1" t="s">
        <v>0</v>
      </c>
    </row>
    <row r="20" spans="1:12" x14ac:dyDescent="0.25">
      <c r="A20" s="1" t="s">
        <v>390</v>
      </c>
      <c r="B20" s="1" t="s">
        <v>34</v>
      </c>
      <c r="C20" s="1">
        <v>4367</v>
      </c>
      <c r="D20" s="1">
        <v>37</v>
      </c>
      <c r="E20" s="1">
        <v>22</v>
      </c>
      <c r="F20" s="1">
        <v>335</v>
      </c>
      <c r="G20" s="24">
        <v>1699.21</v>
      </c>
      <c r="H20" s="1" t="s">
        <v>14</v>
      </c>
      <c r="I20" s="1" t="s">
        <v>13</v>
      </c>
      <c r="J20" s="1" t="s">
        <v>11</v>
      </c>
      <c r="K20" s="1" t="s">
        <v>17</v>
      </c>
      <c r="L20" s="1" t="s">
        <v>0</v>
      </c>
    </row>
    <row r="21" spans="1:12" x14ac:dyDescent="0.25">
      <c r="A21" s="1" t="s">
        <v>389</v>
      </c>
      <c r="B21" s="1" t="s">
        <v>34</v>
      </c>
      <c r="C21" s="1">
        <v>546</v>
      </c>
      <c r="D21" s="1">
        <v>41</v>
      </c>
      <c r="E21" s="1">
        <v>34</v>
      </c>
      <c r="F21" s="1">
        <v>371</v>
      </c>
      <c r="G21" s="24">
        <v>1297.73</v>
      </c>
      <c r="H21" s="1" t="s">
        <v>12</v>
      </c>
      <c r="I21" s="1" t="s">
        <v>3</v>
      </c>
      <c r="J21" s="1" t="s">
        <v>11</v>
      </c>
      <c r="K21" s="1" t="s">
        <v>15</v>
      </c>
      <c r="L21" s="1" t="s">
        <v>0</v>
      </c>
    </row>
    <row r="22" spans="1:12" x14ac:dyDescent="0.25">
      <c r="A22" s="1" t="s">
        <v>388</v>
      </c>
      <c r="B22" s="1" t="s">
        <v>34</v>
      </c>
      <c r="C22" s="1">
        <v>2974</v>
      </c>
      <c r="D22" s="1">
        <v>27</v>
      </c>
      <c r="E22" s="1">
        <v>36</v>
      </c>
      <c r="F22" s="1">
        <v>162</v>
      </c>
      <c r="G22" s="24">
        <v>415.96</v>
      </c>
      <c r="H22" s="1" t="s">
        <v>19</v>
      </c>
      <c r="I22" s="1" t="s">
        <v>13</v>
      </c>
      <c r="J22" s="1" t="s">
        <v>18</v>
      </c>
      <c r="K22" s="1" t="s">
        <v>10</v>
      </c>
      <c r="L22" s="1" t="s">
        <v>0</v>
      </c>
    </row>
    <row r="23" spans="1:12" x14ac:dyDescent="0.25">
      <c r="A23" s="1" t="s">
        <v>387</v>
      </c>
      <c r="B23" s="1" t="s">
        <v>34</v>
      </c>
      <c r="C23" s="1">
        <v>2056</v>
      </c>
      <c r="D23" s="1">
        <v>18</v>
      </c>
      <c r="E23" s="1">
        <v>29</v>
      </c>
      <c r="F23" s="1">
        <v>402</v>
      </c>
      <c r="G23" s="24">
        <v>1403.64</v>
      </c>
      <c r="H23" s="1" t="s">
        <v>4</v>
      </c>
      <c r="I23" s="1" t="s">
        <v>13</v>
      </c>
      <c r="J23" s="1" t="s">
        <v>11</v>
      </c>
      <c r="K23" s="1" t="s">
        <v>1</v>
      </c>
      <c r="L23" s="1" t="s">
        <v>0</v>
      </c>
    </row>
    <row r="24" spans="1:12" x14ac:dyDescent="0.25">
      <c r="A24" s="1" t="s">
        <v>386</v>
      </c>
      <c r="B24" s="1" t="s">
        <v>34</v>
      </c>
      <c r="C24" s="1">
        <v>1519</v>
      </c>
      <c r="D24" s="1">
        <v>29</v>
      </c>
      <c r="E24" s="1">
        <v>50</v>
      </c>
      <c r="F24" s="1">
        <v>278</v>
      </c>
      <c r="G24" s="24">
        <v>622.07000000000005</v>
      </c>
      <c r="H24" s="1" t="s">
        <v>14</v>
      </c>
      <c r="I24" s="1" t="s">
        <v>3</v>
      </c>
      <c r="J24" s="1" t="s">
        <v>18</v>
      </c>
      <c r="K24" s="1" t="s">
        <v>10</v>
      </c>
      <c r="L24" s="1" t="s">
        <v>0</v>
      </c>
    </row>
    <row r="25" spans="1:12" x14ac:dyDescent="0.25">
      <c r="A25" s="1" t="s">
        <v>385</v>
      </c>
      <c r="B25" s="1" t="s">
        <v>34</v>
      </c>
      <c r="C25" s="1">
        <v>3071</v>
      </c>
      <c r="D25" s="1">
        <v>21</v>
      </c>
      <c r="E25" s="1">
        <v>15</v>
      </c>
      <c r="F25" s="1">
        <v>161</v>
      </c>
      <c r="G25" s="24">
        <v>1628.69</v>
      </c>
      <c r="H25" s="1" t="s">
        <v>4</v>
      </c>
      <c r="I25" s="1" t="s">
        <v>3</v>
      </c>
      <c r="J25" s="1" t="s">
        <v>18</v>
      </c>
      <c r="K25" s="1" t="s">
        <v>10</v>
      </c>
      <c r="L25" s="1" t="s">
        <v>0</v>
      </c>
    </row>
    <row r="26" spans="1:12" x14ac:dyDescent="0.25">
      <c r="A26" s="1" t="s">
        <v>384</v>
      </c>
      <c r="B26" s="1" t="s">
        <v>34</v>
      </c>
      <c r="C26" s="1">
        <v>516</v>
      </c>
      <c r="D26" s="1">
        <v>26</v>
      </c>
      <c r="E26" s="1">
        <v>45</v>
      </c>
      <c r="F26" s="1">
        <v>112</v>
      </c>
      <c r="G26" s="24">
        <v>61.75</v>
      </c>
      <c r="H26" s="1" t="s">
        <v>12</v>
      </c>
      <c r="I26" s="1" t="s">
        <v>3</v>
      </c>
      <c r="J26" s="1" t="s">
        <v>18</v>
      </c>
      <c r="K26" s="1" t="s">
        <v>10</v>
      </c>
      <c r="L26" s="1" t="s">
        <v>0</v>
      </c>
    </row>
    <row r="27" spans="1:12" x14ac:dyDescent="0.25">
      <c r="A27" s="1" t="s">
        <v>383</v>
      </c>
      <c r="B27" s="1" t="s">
        <v>34</v>
      </c>
      <c r="C27" s="1">
        <v>4045</v>
      </c>
      <c r="D27" s="1">
        <v>14</v>
      </c>
      <c r="E27" s="1">
        <v>10</v>
      </c>
      <c r="F27" s="1">
        <v>291</v>
      </c>
      <c r="G27" s="24">
        <v>747.65</v>
      </c>
      <c r="H27" s="1" t="s">
        <v>4</v>
      </c>
      <c r="I27" s="1" t="s">
        <v>13</v>
      </c>
      <c r="J27" s="1" t="s">
        <v>11</v>
      </c>
      <c r="K27" s="1" t="s">
        <v>7</v>
      </c>
      <c r="L27" s="1" t="s">
        <v>0</v>
      </c>
    </row>
    <row r="28" spans="1:12" x14ac:dyDescent="0.25">
      <c r="A28" s="1" t="s">
        <v>382</v>
      </c>
      <c r="B28" s="1" t="s">
        <v>34</v>
      </c>
      <c r="C28" s="1">
        <v>2787</v>
      </c>
      <c r="D28" s="1">
        <v>18</v>
      </c>
      <c r="E28" s="1">
        <v>3</v>
      </c>
      <c r="F28" s="1">
        <v>183</v>
      </c>
      <c r="G28" s="24">
        <v>2241.08</v>
      </c>
      <c r="H28" s="1" t="s">
        <v>14</v>
      </c>
      <c r="I28" s="1" t="s">
        <v>13</v>
      </c>
      <c r="J28" s="1" t="s">
        <v>18</v>
      </c>
      <c r="K28" s="1" t="s">
        <v>1</v>
      </c>
      <c r="L28" s="1" t="s">
        <v>0</v>
      </c>
    </row>
    <row r="29" spans="1:12" x14ac:dyDescent="0.25">
      <c r="A29" s="1" t="s">
        <v>381</v>
      </c>
      <c r="B29" s="1" t="s">
        <v>34</v>
      </c>
      <c r="C29" s="1">
        <v>795</v>
      </c>
      <c r="D29" s="1">
        <v>10</v>
      </c>
      <c r="E29" s="1">
        <v>50</v>
      </c>
      <c r="F29" s="1">
        <v>283</v>
      </c>
      <c r="G29" s="24">
        <v>1570.61</v>
      </c>
      <c r="H29" s="1" t="s">
        <v>4</v>
      </c>
      <c r="I29" s="1" t="s">
        <v>13</v>
      </c>
      <c r="J29" s="1" t="s">
        <v>18</v>
      </c>
      <c r="K29" s="1" t="s">
        <v>10</v>
      </c>
      <c r="L29" s="1" t="s">
        <v>0</v>
      </c>
    </row>
    <row r="30" spans="1:12" x14ac:dyDescent="0.25">
      <c r="A30" s="1" t="s">
        <v>380</v>
      </c>
      <c r="B30" s="1" t="s">
        <v>34</v>
      </c>
      <c r="C30" s="1">
        <v>3968</v>
      </c>
      <c r="D30" s="1">
        <v>27</v>
      </c>
      <c r="E30" s="1">
        <v>15</v>
      </c>
      <c r="F30" s="1">
        <v>67</v>
      </c>
      <c r="G30" s="24">
        <v>379.61</v>
      </c>
      <c r="H30" s="1" t="s">
        <v>4</v>
      </c>
      <c r="I30" s="1" t="s">
        <v>13</v>
      </c>
      <c r="J30" s="1" t="s">
        <v>18</v>
      </c>
      <c r="K30" s="1" t="s">
        <v>10</v>
      </c>
      <c r="L30" s="1" t="s">
        <v>0</v>
      </c>
    </row>
    <row r="31" spans="1:12" x14ac:dyDescent="0.25">
      <c r="A31" s="1" t="s">
        <v>379</v>
      </c>
      <c r="B31" s="1" t="s">
        <v>34</v>
      </c>
      <c r="C31" s="1">
        <v>3440</v>
      </c>
      <c r="D31" s="1">
        <v>28</v>
      </c>
      <c r="E31" s="1">
        <v>19</v>
      </c>
      <c r="F31" s="1">
        <v>255</v>
      </c>
      <c r="G31" s="24">
        <v>1281.44</v>
      </c>
      <c r="H31" s="1" t="s">
        <v>12</v>
      </c>
      <c r="I31" s="1" t="s">
        <v>3</v>
      </c>
      <c r="J31" s="1" t="s">
        <v>18</v>
      </c>
      <c r="K31" s="1" t="s">
        <v>17</v>
      </c>
      <c r="L31" s="1" t="s">
        <v>0</v>
      </c>
    </row>
    <row r="32" spans="1:12" x14ac:dyDescent="0.25">
      <c r="A32" s="1" t="s">
        <v>378</v>
      </c>
      <c r="B32" s="1" t="s">
        <v>34</v>
      </c>
      <c r="C32" s="1">
        <v>4963</v>
      </c>
      <c r="D32" s="1">
        <v>14</v>
      </c>
      <c r="E32" s="1">
        <v>22</v>
      </c>
      <c r="F32" s="1">
        <v>196</v>
      </c>
      <c r="G32" s="24">
        <v>1199.8499999999999</v>
      </c>
      <c r="H32" s="1" t="s">
        <v>12</v>
      </c>
      <c r="I32" s="1" t="s">
        <v>3</v>
      </c>
      <c r="J32" s="1" t="s">
        <v>18</v>
      </c>
      <c r="K32" s="1" t="s">
        <v>17</v>
      </c>
      <c r="L32" s="1" t="s">
        <v>0</v>
      </c>
    </row>
    <row r="33" spans="1:12" x14ac:dyDescent="0.25">
      <c r="A33" s="1" t="s">
        <v>377</v>
      </c>
      <c r="B33" s="1" t="s">
        <v>32</v>
      </c>
      <c r="C33" s="1">
        <v>3826</v>
      </c>
      <c r="D33" s="1">
        <v>26</v>
      </c>
      <c r="E33" s="1">
        <v>23</v>
      </c>
      <c r="F33" s="1">
        <v>303</v>
      </c>
      <c r="G33" s="24">
        <v>463.56</v>
      </c>
      <c r="H33" s="1" t="s">
        <v>14</v>
      </c>
      <c r="I33" s="1" t="s">
        <v>13</v>
      </c>
      <c r="J33" s="1" t="s">
        <v>8</v>
      </c>
      <c r="K33" s="1" t="s">
        <v>17</v>
      </c>
      <c r="L33" s="1" t="s">
        <v>0</v>
      </c>
    </row>
    <row r="34" spans="1:12" x14ac:dyDescent="0.25">
      <c r="A34" s="1" t="s">
        <v>376</v>
      </c>
      <c r="B34" s="1" t="s">
        <v>32</v>
      </c>
      <c r="C34" s="1">
        <v>612</v>
      </c>
      <c r="D34" s="1">
        <v>32</v>
      </c>
      <c r="E34" s="1">
        <v>16</v>
      </c>
      <c r="F34" s="1">
        <v>313</v>
      </c>
      <c r="G34" s="24">
        <v>2357.34</v>
      </c>
      <c r="H34" s="1" t="s">
        <v>14</v>
      </c>
      <c r="I34" s="1" t="s">
        <v>13</v>
      </c>
      <c r="J34" s="1" t="s">
        <v>18</v>
      </c>
      <c r="K34" s="1" t="s">
        <v>7</v>
      </c>
      <c r="L34" s="1" t="s">
        <v>0</v>
      </c>
    </row>
    <row r="35" spans="1:12" x14ac:dyDescent="0.25">
      <c r="A35" s="1" t="s">
        <v>375</v>
      </c>
      <c r="B35" s="1" t="s">
        <v>32</v>
      </c>
      <c r="C35" s="1">
        <v>886</v>
      </c>
      <c r="D35" s="1">
        <v>25</v>
      </c>
      <c r="E35" s="1">
        <v>40</v>
      </c>
      <c r="F35" s="1">
        <v>297</v>
      </c>
      <c r="G35" s="24">
        <v>83.1</v>
      </c>
      <c r="H35" s="1" t="s">
        <v>14</v>
      </c>
      <c r="I35" s="1" t="s">
        <v>13</v>
      </c>
      <c r="J35" s="1" t="s">
        <v>2</v>
      </c>
      <c r="K35" s="1" t="s">
        <v>10</v>
      </c>
      <c r="L35" s="1" t="s">
        <v>0</v>
      </c>
    </row>
    <row r="36" spans="1:12" x14ac:dyDescent="0.25">
      <c r="A36" s="1" t="s">
        <v>374</v>
      </c>
      <c r="B36" s="1" t="s">
        <v>32</v>
      </c>
      <c r="C36" s="1">
        <v>1621</v>
      </c>
      <c r="D36" s="1">
        <v>10</v>
      </c>
      <c r="E36" s="1">
        <v>33</v>
      </c>
      <c r="F36" s="1">
        <v>282</v>
      </c>
      <c r="G36" s="24">
        <v>15.34</v>
      </c>
      <c r="H36" s="1" t="s">
        <v>12</v>
      </c>
      <c r="I36" s="1" t="s">
        <v>3</v>
      </c>
      <c r="J36" s="1" t="s">
        <v>18</v>
      </c>
      <c r="K36" s="1" t="s">
        <v>10</v>
      </c>
      <c r="L36" s="1" t="s">
        <v>0</v>
      </c>
    </row>
    <row r="37" spans="1:12" x14ac:dyDescent="0.25">
      <c r="A37" s="1" t="s">
        <v>373</v>
      </c>
      <c r="B37" s="1" t="s">
        <v>32</v>
      </c>
      <c r="C37" s="1">
        <v>4148</v>
      </c>
      <c r="D37" s="1">
        <v>36</v>
      </c>
      <c r="E37" s="1">
        <v>10</v>
      </c>
      <c r="F37" s="1">
        <v>306</v>
      </c>
      <c r="G37" s="24">
        <v>241.04</v>
      </c>
      <c r="H37" s="1" t="s">
        <v>14</v>
      </c>
      <c r="I37" s="1" t="s">
        <v>3</v>
      </c>
      <c r="J37" s="1" t="s">
        <v>11</v>
      </c>
      <c r="K37" s="1" t="s">
        <v>10</v>
      </c>
      <c r="L37" s="1" t="s">
        <v>0</v>
      </c>
    </row>
    <row r="38" spans="1:12" x14ac:dyDescent="0.25">
      <c r="A38" s="1" t="s">
        <v>372</v>
      </c>
      <c r="B38" s="1" t="s">
        <v>32</v>
      </c>
      <c r="C38" s="1">
        <v>4820</v>
      </c>
      <c r="D38" s="1">
        <v>34</v>
      </c>
      <c r="E38" s="1">
        <v>29</v>
      </c>
      <c r="F38" s="1">
        <v>276</v>
      </c>
      <c r="G38" s="24">
        <v>1642.88</v>
      </c>
      <c r="H38" s="1" t="s">
        <v>12</v>
      </c>
      <c r="I38" s="1" t="s">
        <v>13</v>
      </c>
      <c r="J38" s="1" t="s">
        <v>11</v>
      </c>
      <c r="K38" s="1" t="s">
        <v>7</v>
      </c>
      <c r="L38" s="1" t="s">
        <v>0</v>
      </c>
    </row>
    <row r="39" spans="1:12" x14ac:dyDescent="0.25">
      <c r="A39" s="1" t="s">
        <v>371</v>
      </c>
      <c r="B39" s="1" t="s">
        <v>32</v>
      </c>
      <c r="C39" s="1">
        <v>4831</v>
      </c>
      <c r="D39" s="1">
        <v>12</v>
      </c>
      <c r="E39" s="1">
        <v>37</v>
      </c>
      <c r="F39" s="1">
        <v>80</v>
      </c>
      <c r="G39" s="24">
        <v>1639.72</v>
      </c>
      <c r="H39" s="1" t="s">
        <v>4</v>
      </c>
      <c r="I39" s="1" t="s">
        <v>3</v>
      </c>
      <c r="J39" s="1" t="s">
        <v>11</v>
      </c>
      <c r="K39" s="1" t="s">
        <v>10</v>
      </c>
      <c r="L39" s="1" t="s">
        <v>0</v>
      </c>
    </row>
    <row r="40" spans="1:12" x14ac:dyDescent="0.25">
      <c r="A40" s="1" t="s">
        <v>370</v>
      </c>
      <c r="B40" s="1" t="s">
        <v>32</v>
      </c>
      <c r="C40" s="1">
        <v>4349</v>
      </c>
      <c r="D40" s="1">
        <v>35</v>
      </c>
      <c r="E40" s="1">
        <v>8</v>
      </c>
      <c r="F40" s="1">
        <v>294</v>
      </c>
      <c r="G40" s="24">
        <v>1436.77</v>
      </c>
      <c r="H40" s="1" t="s">
        <v>14</v>
      </c>
      <c r="I40" s="1" t="s">
        <v>13</v>
      </c>
      <c r="J40" s="1" t="s">
        <v>2</v>
      </c>
      <c r="K40" s="1" t="s">
        <v>10</v>
      </c>
      <c r="L40" s="1" t="s">
        <v>0</v>
      </c>
    </row>
    <row r="41" spans="1:12" x14ac:dyDescent="0.25">
      <c r="A41" s="1" t="s">
        <v>369</v>
      </c>
      <c r="B41" s="1" t="s">
        <v>32</v>
      </c>
      <c r="C41" s="1">
        <v>2946</v>
      </c>
      <c r="D41" s="1">
        <v>27</v>
      </c>
      <c r="E41" s="1">
        <v>40</v>
      </c>
      <c r="F41" s="1">
        <v>74</v>
      </c>
      <c r="G41" s="24">
        <v>2125.14</v>
      </c>
      <c r="H41" s="1" t="s">
        <v>14</v>
      </c>
      <c r="I41" s="1" t="s">
        <v>13</v>
      </c>
      <c r="J41" s="1" t="s">
        <v>18</v>
      </c>
      <c r="K41" s="1" t="s">
        <v>1</v>
      </c>
      <c r="L41" s="1" t="s">
        <v>0</v>
      </c>
    </row>
    <row r="42" spans="1:12" x14ac:dyDescent="0.25">
      <c r="A42" s="1" t="s">
        <v>368</v>
      </c>
      <c r="B42" s="1" t="s">
        <v>32</v>
      </c>
      <c r="C42" s="1">
        <v>2727</v>
      </c>
      <c r="D42" s="1">
        <v>38</v>
      </c>
      <c r="E42" s="1">
        <v>36</v>
      </c>
      <c r="F42" s="1">
        <v>281</v>
      </c>
      <c r="G42" s="24">
        <v>640.48</v>
      </c>
      <c r="H42" s="1" t="s">
        <v>25</v>
      </c>
      <c r="I42" s="1" t="s">
        <v>13</v>
      </c>
      <c r="J42" s="1" t="s">
        <v>18</v>
      </c>
      <c r="K42" s="1" t="s">
        <v>17</v>
      </c>
      <c r="L42" s="1" t="s">
        <v>0</v>
      </c>
    </row>
    <row r="43" spans="1:12" x14ac:dyDescent="0.25">
      <c r="A43" s="1" t="s">
        <v>367</v>
      </c>
      <c r="B43" s="1" t="s">
        <v>32</v>
      </c>
      <c r="C43" s="1">
        <v>4814</v>
      </c>
      <c r="D43" s="1">
        <v>5</v>
      </c>
      <c r="E43" s="1">
        <v>10</v>
      </c>
      <c r="F43" s="1">
        <v>96</v>
      </c>
      <c r="G43" s="24">
        <v>1672.38</v>
      </c>
      <c r="H43" s="1" t="s">
        <v>14</v>
      </c>
      <c r="I43" s="1" t="s">
        <v>13</v>
      </c>
      <c r="J43" s="1" t="s">
        <v>2</v>
      </c>
      <c r="K43" s="1" t="s">
        <v>15</v>
      </c>
      <c r="L43" s="1" t="s">
        <v>0</v>
      </c>
    </row>
    <row r="44" spans="1:12" x14ac:dyDescent="0.25">
      <c r="A44" s="1" t="s">
        <v>366</v>
      </c>
      <c r="B44" s="1" t="s">
        <v>32</v>
      </c>
      <c r="C44" s="1">
        <v>581</v>
      </c>
      <c r="D44" s="1">
        <v>36</v>
      </c>
      <c r="E44" s="1">
        <v>19</v>
      </c>
      <c r="F44" s="1">
        <v>327</v>
      </c>
      <c r="G44" s="24">
        <v>1492.9</v>
      </c>
      <c r="H44" s="1" t="s">
        <v>14</v>
      </c>
      <c r="I44" s="1" t="s">
        <v>3</v>
      </c>
      <c r="J44" s="1" t="s">
        <v>8</v>
      </c>
      <c r="K44" s="1" t="s">
        <v>7</v>
      </c>
      <c r="L44" s="1" t="s">
        <v>0</v>
      </c>
    </row>
    <row r="45" spans="1:12" x14ac:dyDescent="0.25">
      <c r="A45" s="1" t="s">
        <v>365</v>
      </c>
      <c r="B45" s="1" t="s">
        <v>32</v>
      </c>
      <c r="C45" s="1">
        <v>3986</v>
      </c>
      <c r="D45" s="1">
        <v>22</v>
      </c>
      <c r="E45" s="1">
        <v>2</v>
      </c>
      <c r="F45" s="1">
        <v>175</v>
      </c>
      <c r="G45" s="24">
        <v>823.24</v>
      </c>
      <c r="H45" s="1" t="s">
        <v>14</v>
      </c>
      <c r="I45" s="1" t="s">
        <v>13</v>
      </c>
      <c r="J45" s="1" t="s">
        <v>18</v>
      </c>
      <c r="K45" s="1" t="s">
        <v>7</v>
      </c>
      <c r="L45" s="1" t="s">
        <v>0</v>
      </c>
    </row>
    <row r="46" spans="1:12" x14ac:dyDescent="0.25">
      <c r="A46" s="1" t="s">
        <v>364</v>
      </c>
      <c r="B46" s="1" t="s">
        <v>32</v>
      </c>
      <c r="C46" s="1">
        <v>4137</v>
      </c>
      <c r="D46" s="1">
        <v>33</v>
      </c>
      <c r="E46" s="1">
        <v>3</v>
      </c>
      <c r="F46" s="1">
        <v>236</v>
      </c>
      <c r="G46" s="24">
        <v>1483.82</v>
      </c>
      <c r="H46" s="1" t="s">
        <v>12</v>
      </c>
      <c r="I46" s="1" t="s">
        <v>3</v>
      </c>
      <c r="J46" s="1" t="s">
        <v>18</v>
      </c>
      <c r="K46" s="1" t="s">
        <v>1</v>
      </c>
      <c r="L46" s="1" t="s">
        <v>0</v>
      </c>
    </row>
    <row r="47" spans="1:12" x14ac:dyDescent="0.25">
      <c r="A47" s="1" t="s">
        <v>363</v>
      </c>
      <c r="B47" s="1" t="s">
        <v>32</v>
      </c>
      <c r="C47" s="1">
        <v>677</v>
      </c>
      <c r="D47" s="1">
        <v>17</v>
      </c>
      <c r="E47" s="1">
        <v>-4</v>
      </c>
      <c r="F47" s="1">
        <v>196</v>
      </c>
      <c r="G47" s="24">
        <v>1209.4000000000001</v>
      </c>
      <c r="H47" s="1" t="s">
        <v>14</v>
      </c>
      <c r="I47" s="1" t="s">
        <v>3</v>
      </c>
      <c r="J47" s="1" t="s">
        <v>18</v>
      </c>
      <c r="K47" s="1" t="s">
        <v>7</v>
      </c>
      <c r="L47" s="1" t="s">
        <v>0</v>
      </c>
    </row>
    <row r="48" spans="1:12" x14ac:dyDescent="0.25">
      <c r="A48" s="1" t="s">
        <v>362</v>
      </c>
      <c r="B48" s="1" t="s">
        <v>32</v>
      </c>
      <c r="C48" s="1">
        <v>3294</v>
      </c>
      <c r="D48" s="1">
        <v>29</v>
      </c>
      <c r="E48" s="1">
        <v>38</v>
      </c>
      <c r="F48" s="1">
        <v>294</v>
      </c>
      <c r="G48" s="24">
        <v>2114.83</v>
      </c>
      <c r="H48" s="1" t="s">
        <v>12</v>
      </c>
      <c r="I48" s="1" t="s">
        <v>3</v>
      </c>
      <c r="J48" s="1" t="s">
        <v>11</v>
      </c>
      <c r="K48" s="1" t="s">
        <v>1</v>
      </c>
      <c r="L48" s="1" t="s">
        <v>0</v>
      </c>
    </row>
    <row r="49" spans="1:12" x14ac:dyDescent="0.25">
      <c r="A49" s="1" t="s">
        <v>361</v>
      </c>
      <c r="B49" s="1" t="s">
        <v>32</v>
      </c>
      <c r="C49" s="1">
        <v>734</v>
      </c>
      <c r="D49" s="1">
        <v>6</v>
      </c>
      <c r="E49" s="1">
        <v>14</v>
      </c>
      <c r="F49" s="1">
        <v>299</v>
      </c>
      <c r="G49" s="24">
        <v>1727.97</v>
      </c>
      <c r="H49" s="1" t="s">
        <v>12</v>
      </c>
      <c r="I49" s="1" t="s">
        <v>13</v>
      </c>
      <c r="J49" s="1" t="s">
        <v>18</v>
      </c>
      <c r="K49" s="1" t="s">
        <v>10</v>
      </c>
      <c r="L49" s="1" t="s">
        <v>0</v>
      </c>
    </row>
    <row r="50" spans="1:12" x14ac:dyDescent="0.25">
      <c r="A50" s="1" t="s">
        <v>360</v>
      </c>
      <c r="B50" s="1" t="s">
        <v>32</v>
      </c>
      <c r="C50" s="1">
        <v>1820</v>
      </c>
      <c r="D50" s="1">
        <v>25</v>
      </c>
      <c r="E50" s="1">
        <v>-1</v>
      </c>
      <c r="F50" s="1">
        <v>296</v>
      </c>
      <c r="G50" s="24">
        <v>1028.99</v>
      </c>
      <c r="H50" s="1" t="s">
        <v>12</v>
      </c>
      <c r="I50" s="1" t="s">
        <v>13</v>
      </c>
      <c r="J50" s="1" t="s">
        <v>11</v>
      </c>
      <c r="K50" s="1" t="s">
        <v>7</v>
      </c>
      <c r="L50" s="1" t="s">
        <v>0</v>
      </c>
    </row>
    <row r="51" spans="1:12" x14ac:dyDescent="0.25">
      <c r="A51" s="1" t="s">
        <v>359</v>
      </c>
      <c r="B51" s="1" t="s">
        <v>32</v>
      </c>
      <c r="C51" s="1">
        <v>1406</v>
      </c>
      <c r="D51" s="1">
        <v>16</v>
      </c>
      <c r="E51" s="1">
        <v>30</v>
      </c>
      <c r="F51" s="1">
        <v>86</v>
      </c>
      <c r="G51" s="24">
        <v>691.81</v>
      </c>
      <c r="H51" s="1" t="s">
        <v>25</v>
      </c>
      <c r="I51" s="1" t="s">
        <v>13</v>
      </c>
      <c r="J51" s="1" t="s">
        <v>18</v>
      </c>
      <c r="K51" s="1" t="s">
        <v>17</v>
      </c>
      <c r="L51" s="1" t="s">
        <v>0</v>
      </c>
    </row>
    <row r="52" spans="1:12" x14ac:dyDescent="0.25">
      <c r="A52" s="1" t="s">
        <v>358</v>
      </c>
      <c r="B52" s="1" t="s">
        <v>32</v>
      </c>
      <c r="C52" s="1">
        <v>3252</v>
      </c>
      <c r="D52" s="1">
        <v>11</v>
      </c>
      <c r="E52" s="1">
        <v>-2</v>
      </c>
      <c r="F52" s="1">
        <v>113</v>
      </c>
      <c r="G52" s="24">
        <v>1431.52</v>
      </c>
      <c r="H52" s="1" t="s">
        <v>12</v>
      </c>
      <c r="I52" s="1" t="s">
        <v>3</v>
      </c>
      <c r="J52" s="1" t="s">
        <v>18</v>
      </c>
      <c r="K52" s="1" t="s">
        <v>17</v>
      </c>
      <c r="L52" s="1" t="s">
        <v>0</v>
      </c>
    </row>
    <row r="53" spans="1:12" x14ac:dyDescent="0.25">
      <c r="A53" s="1" t="s">
        <v>357</v>
      </c>
      <c r="B53" s="1" t="s">
        <v>32</v>
      </c>
      <c r="C53" s="1">
        <v>2752</v>
      </c>
      <c r="D53" s="1">
        <v>22</v>
      </c>
      <c r="E53" s="1">
        <v>11</v>
      </c>
      <c r="F53" s="1">
        <v>437</v>
      </c>
      <c r="G53" s="24">
        <v>644.92999999999995</v>
      </c>
      <c r="H53" s="1" t="s">
        <v>25</v>
      </c>
      <c r="I53" s="1" t="s">
        <v>13</v>
      </c>
      <c r="J53" s="1" t="s">
        <v>18</v>
      </c>
      <c r="K53" s="1" t="s">
        <v>7</v>
      </c>
      <c r="L53" s="1" t="s">
        <v>0</v>
      </c>
    </row>
    <row r="54" spans="1:12" x14ac:dyDescent="0.25">
      <c r="A54" s="1" t="s">
        <v>356</v>
      </c>
      <c r="B54" s="1" t="s">
        <v>32</v>
      </c>
      <c r="C54" s="1">
        <v>4336</v>
      </c>
      <c r="D54" s="1">
        <v>20</v>
      </c>
      <c r="E54" s="1">
        <v>30</v>
      </c>
      <c r="F54" s="1">
        <v>169</v>
      </c>
      <c r="G54" s="24">
        <v>2264.3000000000002</v>
      </c>
      <c r="H54" s="1" t="s">
        <v>4</v>
      </c>
      <c r="I54" s="1" t="s">
        <v>13</v>
      </c>
      <c r="J54" s="1" t="s">
        <v>18</v>
      </c>
      <c r="K54" s="1" t="s">
        <v>7</v>
      </c>
      <c r="L54" s="1" t="s">
        <v>0</v>
      </c>
    </row>
    <row r="55" spans="1:12" x14ac:dyDescent="0.25">
      <c r="A55" s="1" t="s">
        <v>355</v>
      </c>
      <c r="B55" s="1" t="s">
        <v>32</v>
      </c>
      <c r="C55" s="1">
        <v>2102</v>
      </c>
      <c r="D55" s="1">
        <v>15</v>
      </c>
      <c r="E55" s="1">
        <v>41</v>
      </c>
      <c r="F55" s="1">
        <v>367</v>
      </c>
      <c r="G55" s="24">
        <v>22.85</v>
      </c>
      <c r="H55" s="1" t="s">
        <v>12</v>
      </c>
      <c r="I55" s="1" t="s">
        <v>13</v>
      </c>
      <c r="J55" s="1" t="s">
        <v>18</v>
      </c>
      <c r="K55" s="1" t="s">
        <v>17</v>
      </c>
      <c r="L55" s="1" t="s">
        <v>0</v>
      </c>
    </row>
    <row r="56" spans="1:12" x14ac:dyDescent="0.25">
      <c r="A56" s="1" t="s">
        <v>354</v>
      </c>
      <c r="B56" s="1" t="s">
        <v>32</v>
      </c>
      <c r="C56" s="1">
        <v>1075</v>
      </c>
      <c r="D56" s="1">
        <v>25</v>
      </c>
      <c r="E56" s="1">
        <v>21</v>
      </c>
      <c r="F56" s="1">
        <v>188</v>
      </c>
      <c r="G56" s="24">
        <v>2408.1</v>
      </c>
      <c r="H56" s="1" t="s">
        <v>14</v>
      </c>
      <c r="I56" s="1" t="s">
        <v>3</v>
      </c>
      <c r="J56" s="1" t="s">
        <v>8</v>
      </c>
      <c r="K56" s="1" t="s">
        <v>10</v>
      </c>
      <c r="L56" s="1" t="s">
        <v>0</v>
      </c>
    </row>
    <row r="57" spans="1:12" x14ac:dyDescent="0.25">
      <c r="A57" s="1" t="s">
        <v>353</v>
      </c>
      <c r="B57" s="1" t="s">
        <v>32</v>
      </c>
      <c r="C57" s="1">
        <v>1570</v>
      </c>
      <c r="D57" s="1">
        <v>36</v>
      </c>
      <c r="E57" s="1">
        <v>8</v>
      </c>
      <c r="F57" s="1">
        <v>293</v>
      </c>
      <c r="G57" s="24">
        <v>917.63</v>
      </c>
      <c r="H57" s="1" t="s">
        <v>12</v>
      </c>
      <c r="I57" s="1" t="s">
        <v>13</v>
      </c>
      <c r="J57" s="1" t="s">
        <v>18</v>
      </c>
      <c r="K57" s="1" t="s">
        <v>7</v>
      </c>
      <c r="L57" s="1" t="s">
        <v>0</v>
      </c>
    </row>
    <row r="58" spans="1:12" x14ac:dyDescent="0.25">
      <c r="A58" s="1" t="s">
        <v>352</v>
      </c>
      <c r="B58" s="1" t="s">
        <v>32</v>
      </c>
      <c r="C58" s="1">
        <v>4582</v>
      </c>
      <c r="D58" s="1">
        <v>30</v>
      </c>
      <c r="E58" s="1">
        <v>4</v>
      </c>
      <c r="F58" s="1">
        <v>310</v>
      </c>
      <c r="G58" s="24">
        <v>1130.06</v>
      </c>
      <c r="H58" s="1" t="s">
        <v>12</v>
      </c>
      <c r="I58" s="1" t="s">
        <v>3</v>
      </c>
      <c r="J58" s="1" t="s">
        <v>18</v>
      </c>
      <c r="K58" s="1" t="s">
        <v>7</v>
      </c>
      <c r="L58" s="1" t="s">
        <v>0</v>
      </c>
    </row>
    <row r="59" spans="1:12" x14ac:dyDescent="0.25">
      <c r="A59" s="1" t="s">
        <v>351</v>
      </c>
      <c r="B59" s="1" t="s">
        <v>32</v>
      </c>
      <c r="C59" s="1">
        <v>1332</v>
      </c>
      <c r="D59" s="1">
        <v>26</v>
      </c>
      <c r="E59" s="1">
        <v>0</v>
      </c>
      <c r="F59" s="1">
        <v>71</v>
      </c>
      <c r="G59" s="24">
        <v>793.71</v>
      </c>
      <c r="H59" s="1" t="s">
        <v>12</v>
      </c>
      <c r="I59" s="1" t="s">
        <v>3</v>
      </c>
      <c r="J59" s="1" t="s">
        <v>18</v>
      </c>
      <c r="K59" s="1" t="s">
        <v>7</v>
      </c>
      <c r="L59" s="1" t="s">
        <v>0</v>
      </c>
    </row>
    <row r="60" spans="1:12" x14ac:dyDescent="0.25">
      <c r="A60" s="1" t="s">
        <v>350</v>
      </c>
      <c r="B60" s="1" t="s">
        <v>32</v>
      </c>
      <c r="C60" s="1">
        <v>3023</v>
      </c>
      <c r="D60" s="1">
        <v>8</v>
      </c>
      <c r="E60" s="1">
        <v>22</v>
      </c>
      <c r="F60" s="1">
        <v>212</v>
      </c>
      <c r="G60" s="24">
        <v>1870.72</v>
      </c>
      <c r="H60" s="1" t="s">
        <v>19</v>
      </c>
      <c r="I60" s="1" t="s">
        <v>3</v>
      </c>
      <c r="J60" s="1" t="s">
        <v>8</v>
      </c>
      <c r="K60" s="1" t="s">
        <v>10</v>
      </c>
      <c r="L60" s="1" t="s">
        <v>0</v>
      </c>
    </row>
    <row r="61" spans="1:12" x14ac:dyDescent="0.25">
      <c r="A61" s="1" t="s">
        <v>349</v>
      </c>
      <c r="B61" s="1" t="s">
        <v>31</v>
      </c>
      <c r="C61" s="1">
        <v>3544</v>
      </c>
      <c r="D61" s="1">
        <v>30</v>
      </c>
      <c r="E61" s="1">
        <v>7</v>
      </c>
      <c r="F61" s="1">
        <v>232</v>
      </c>
      <c r="G61" s="24">
        <v>2136.92</v>
      </c>
      <c r="H61" s="1" t="s">
        <v>14</v>
      </c>
      <c r="I61" s="1" t="s">
        <v>13</v>
      </c>
      <c r="J61" s="1" t="s">
        <v>18</v>
      </c>
      <c r="K61" s="1" t="s">
        <v>17</v>
      </c>
      <c r="L61" s="1" t="s">
        <v>0</v>
      </c>
    </row>
    <row r="62" spans="1:12" x14ac:dyDescent="0.25">
      <c r="A62" s="1" t="s">
        <v>348</v>
      </c>
      <c r="B62" s="1" t="s">
        <v>31</v>
      </c>
      <c r="C62" s="1">
        <v>3842</v>
      </c>
      <c r="D62" s="1">
        <v>8</v>
      </c>
      <c r="E62" s="1">
        <v>-4</v>
      </c>
      <c r="F62" s="1">
        <v>187</v>
      </c>
      <c r="G62" s="24">
        <v>2110.41</v>
      </c>
      <c r="H62" s="1" t="s">
        <v>4</v>
      </c>
      <c r="I62" s="1" t="s">
        <v>13</v>
      </c>
      <c r="J62" s="1" t="s">
        <v>18</v>
      </c>
      <c r="K62" s="1" t="s">
        <v>10</v>
      </c>
      <c r="L62" s="1" t="s">
        <v>0</v>
      </c>
    </row>
    <row r="63" spans="1:12" x14ac:dyDescent="0.25">
      <c r="A63" s="1" t="s">
        <v>347</v>
      </c>
      <c r="B63" s="1" t="s">
        <v>31</v>
      </c>
      <c r="C63" s="1">
        <v>4122</v>
      </c>
      <c r="D63" s="1">
        <v>14</v>
      </c>
      <c r="E63" s="1">
        <v>6</v>
      </c>
      <c r="F63" s="1">
        <v>449</v>
      </c>
      <c r="G63" s="24">
        <v>14.11</v>
      </c>
      <c r="H63" s="1" t="s">
        <v>12</v>
      </c>
      <c r="I63" s="1" t="s">
        <v>13</v>
      </c>
      <c r="J63" s="1" t="s">
        <v>18</v>
      </c>
      <c r="K63" s="1" t="s">
        <v>15</v>
      </c>
      <c r="L63" s="1" t="s">
        <v>0</v>
      </c>
    </row>
    <row r="64" spans="1:12" x14ac:dyDescent="0.25">
      <c r="A64" s="1" t="s">
        <v>346</v>
      </c>
      <c r="B64" s="1" t="s">
        <v>31</v>
      </c>
      <c r="C64" s="1">
        <v>569</v>
      </c>
      <c r="D64" s="1">
        <v>29</v>
      </c>
      <c r="E64" s="1">
        <v>1</v>
      </c>
      <c r="F64" s="1">
        <v>284</v>
      </c>
      <c r="G64" s="24">
        <v>982.22</v>
      </c>
      <c r="H64" s="1" t="s">
        <v>19</v>
      </c>
      <c r="I64" s="1" t="s">
        <v>13</v>
      </c>
      <c r="J64" s="1" t="s">
        <v>18</v>
      </c>
      <c r="K64" s="1" t="s">
        <v>10</v>
      </c>
      <c r="L64" s="1" t="s">
        <v>0</v>
      </c>
    </row>
    <row r="65" spans="1:12" x14ac:dyDescent="0.25">
      <c r="A65" s="1" t="s">
        <v>345</v>
      </c>
      <c r="B65" s="1" t="s">
        <v>31</v>
      </c>
      <c r="C65" s="1">
        <v>1913</v>
      </c>
      <c r="D65" s="1">
        <v>24</v>
      </c>
      <c r="E65" s="1">
        <v>27</v>
      </c>
      <c r="F65" s="1">
        <v>405</v>
      </c>
      <c r="G65" s="24">
        <v>1061.56</v>
      </c>
      <c r="H65" s="1" t="s">
        <v>12</v>
      </c>
      <c r="I65" s="1" t="s">
        <v>3</v>
      </c>
      <c r="J65" s="1" t="s">
        <v>18</v>
      </c>
      <c r="K65" s="1" t="s">
        <v>17</v>
      </c>
      <c r="L65" s="1" t="s">
        <v>0</v>
      </c>
    </row>
    <row r="66" spans="1:12" x14ac:dyDescent="0.25">
      <c r="A66" s="1" t="s">
        <v>344</v>
      </c>
      <c r="B66" s="1" t="s">
        <v>31</v>
      </c>
      <c r="C66" s="1">
        <v>2672</v>
      </c>
      <c r="D66" s="1">
        <v>45</v>
      </c>
      <c r="E66" s="1">
        <v>11</v>
      </c>
      <c r="F66" s="1">
        <v>444</v>
      </c>
      <c r="G66" s="24">
        <v>1747.1</v>
      </c>
      <c r="H66" s="1" t="s">
        <v>14</v>
      </c>
      <c r="I66" s="1" t="s">
        <v>13</v>
      </c>
      <c r="J66" s="1" t="s">
        <v>18</v>
      </c>
      <c r="K66" s="1" t="s">
        <v>21</v>
      </c>
      <c r="L66" s="1" t="s">
        <v>0</v>
      </c>
    </row>
    <row r="67" spans="1:12" x14ac:dyDescent="0.25">
      <c r="A67" s="1" t="s">
        <v>343</v>
      </c>
      <c r="B67" s="1" t="s">
        <v>31</v>
      </c>
      <c r="C67" s="1">
        <v>2670</v>
      </c>
      <c r="D67" s="1">
        <v>40</v>
      </c>
      <c r="E67" s="1">
        <v>-5</v>
      </c>
      <c r="F67" s="1">
        <v>250</v>
      </c>
      <c r="G67" s="24">
        <v>1572.16</v>
      </c>
      <c r="H67" s="1" t="s">
        <v>12</v>
      </c>
      <c r="I67" s="1" t="s">
        <v>13</v>
      </c>
      <c r="J67" s="1" t="s">
        <v>2</v>
      </c>
      <c r="K67" s="1" t="s">
        <v>17</v>
      </c>
      <c r="L67" s="1" t="s">
        <v>0</v>
      </c>
    </row>
    <row r="68" spans="1:12" x14ac:dyDescent="0.25">
      <c r="A68" s="1" t="s">
        <v>342</v>
      </c>
      <c r="B68" s="1" t="s">
        <v>31</v>
      </c>
      <c r="C68" s="1">
        <v>1082</v>
      </c>
      <c r="D68" s="1">
        <v>34</v>
      </c>
      <c r="E68" s="1">
        <v>23</v>
      </c>
      <c r="F68" s="1">
        <v>332</v>
      </c>
      <c r="G68" s="24">
        <v>1887.29</v>
      </c>
      <c r="H68" s="1" t="s">
        <v>19</v>
      </c>
      <c r="I68" s="1" t="s">
        <v>13</v>
      </c>
      <c r="J68" s="1" t="s">
        <v>18</v>
      </c>
      <c r="K68" s="1" t="s">
        <v>10</v>
      </c>
      <c r="L68" s="1" t="s">
        <v>0</v>
      </c>
    </row>
    <row r="69" spans="1:12" x14ac:dyDescent="0.25">
      <c r="A69" s="1" t="s">
        <v>341</v>
      </c>
      <c r="B69" s="1" t="s">
        <v>31</v>
      </c>
      <c r="C69" s="1">
        <v>864</v>
      </c>
      <c r="D69" s="1">
        <v>40</v>
      </c>
      <c r="E69" s="1">
        <v>13</v>
      </c>
      <c r="F69" s="1">
        <v>34</v>
      </c>
      <c r="G69" s="24">
        <v>552.51</v>
      </c>
      <c r="H69" s="1" t="s">
        <v>4</v>
      </c>
      <c r="I69" s="1" t="s">
        <v>13</v>
      </c>
      <c r="J69" s="1" t="s">
        <v>18</v>
      </c>
      <c r="K69" s="1" t="s">
        <v>7</v>
      </c>
      <c r="L69" s="1" t="s">
        <v>0</v>
      </c>
    </row>
    <row r="70" spans="1:12" x14ac:dyDescent="0.25">
      <c r="A70" s="1" t="s">
        <v>340</v>
      </c>
      <c r="B70" s="1" t="s">
        <v>31</v>
      </c>
      <c r="C70" s="1">
        <v>3179</v>
      </c>
      <c r="D70" s="1">
        <v>25</v>
      </c>
      <c r="E70" s="1">
        <v>38</v>
      </c>
      <c r="F70" s="1">
        <v>388</v>
      </c>
      <c r="G70" s="24">
        <v>769.65</v>
      </c>
      <c r="H70" s="1" t="s">
        <v>12</v>
      </c>
      <c r="I70" s="1" t="s">
        <v>3</v>
      </c>
      <c r="J70" s="1" t="s">
        <v>11</v>
      </c>
      <c r="K70" s="1" t="s">
        <v>7</v>
      </c>
      <c r="L70" s="1" t="s">
        <v>0</v>
      </c>
    </row>
    <row r="71" spans="1:12" x14ac:dyDescent="0.25">
      <c r="A71" s="1" t="s">
        <v>339</v>
      </c>
      <c r="B71" s="1" t="s">
        <v>31</v>
      </c>
      <c r="C71" s="1">
        <v>4974</v>
      </c>
      <c r="D71" s="1">
        <v>22</v>
      </c>
      <c r="E71" s="1">
        <v>18</v>
      </c>
      <c r="F71" s="1">
        <v>328</v>
      </c>
      <c r="G71" s="24">
        <v>859.42</v>
      </c>
      <c r="H71" s="1" t="s">
        <v>19</v>
      </c>
      <c r="I71" s="1" t="s">
        <v>3</v>
      </c>
      <c r="J71" s="1" t="s">
        <v>18</v>
      </c>
      <c r="K71" s="1" t="s">
        <v>10</v>
      </c>
      <c r="L71" s="1" t="s">
        <v>0</v>
      </c>
    </row>
    <row r="72" spans="1:12" x14ac:dyDescent="0.25">
      <c r="A72" s="1" t="s">
        <v>338</v>
      </c>
      <c r="B72" s="1" t="s">
        <v>31</v>
      </c>
      <c r="C72" s="1">
        <v>3837</v>
      </c>
      <c r="D72" s="1">
        <v>5</v>
      </c>
      <c r="E72" s="1">
        <v>44</v>
      </c>
      <c r="F72" s="1">
        <v>182</v>
      </c>
      <c r="G72" s="24">
        <v>1773.15</v>
      </c>
      <c r="H72" s="1" t="s">
        <v>4</v>
      </c>
      <c r="I72" s="1" t="s">
        <v>13</v>
      </c>
      <c r="J72" s="1" t="s">
        <v>18</v>
      </c>
      <c r="K72" s="1" t="s">
        <v>7</v>
      </c>
      <c r="L72" s="1" t="s">
        <v>0</v>
      </c>
    </row>
    <row r="73" spans="1:12" x14ac:dyDescent="0.25">
      <c r="A73" s="1" t="s">
        <v>337</v>
      </c>
      <c r="B73" s="1" t="s">
        <v>31</v>
      </c>
      <c r="C73" s="1">
        <v>1624</v>
      </c>
      <c r="D73" s="1">
        <v>24</v>
      </c>
      <c r="E73" s="1">
        <v>29</v>
      </c>
      <c r="F73" s="1">
        <v>76</v>
      </c>
      <c r="G73" s="24">
        <v>690.76</v>
      </c>
      <c r="H73" s="1" t="s">
        <v>14</v>
      </c>
      <c r="I73" s="1" t="s">
        <v>3</v>
      </c>
      <c r="J73" s="1" t="s">
        <v>18</v>
      </c>
      <c r="K73" s="1" t="s">
        <v>10</v>
      </c>
      <c r="L73" s="1" t="s">
        <v>0</v>
      </c>
    </row>
    <row r="74" spans="1:12" x14ac:dyDescent="0.25">
      <c r="A74" s="1" t="s">
        <v>336</v>
      </c>
      <c r="B74" s="1" t="s">
        <v>31</v>
      </c>
      <c r="C74" s="1">
        <v>4810</v>
      </c>
      <c r="D74" s="1">
        <v>5</v>
      </c>
      <c r="E74" s="1">
        <v>7</v>
      </c>
      <c r="F74" s="1">
        <v>365</v>
      </c>
      <c r="G74" s="24">
        <v>1108.1300000000001</v>
      </c>
      <c r="H74" s="1" t="s">
        <v>12</v>
      </c>
      <c r="I74" s="1" t="s">
        <v>13</v>
      </c>
      <c r="J74" s="1" t="s">
        <v>18</v>
      </c>
      <c r="K74" s="1" t="s">
        <v>10</v>
      </c>
      <c r="L74" s="1" t="s">
        <v>0</v>
      </c>
    </row>
    <row r="75" spans="1:12" x14ac:dyDescent="0.25">
      <c r="A75" s="1" t="s">
        <v>335</v>
      </c>
      <c r="B75" s="1" t="s">
        <v>31</v>
      </c>
      <c r="C75" s="1">
        <v>867</v>
      </c>
      <c r="D75" s="1">
        <v>8</v>
      </c>
      <c r="E75" s="1">
        <v>45</v>
      </c>
      <c r="F75" s="1">
        <v>340</v>
      </c>
      <c r="G75" s="24">
        <v>438.87</v>
      </c>
      <c r="H75" s="1" t="s">
        <v>4</v>
      </c>
      <c r="I75" s="1" t="s">
        <v>3</v>
      </c>
      <c r="J75" s="1" t="s">
        <v>18</v>
      </c>
      <c r="K75" s="1" t="s">
        <v>1</v>
      </c>
      <c r="L75" s="1" t="s">
        <v>0</v>
      </c>
    </row>
    <row r="76" spans="1:12" x14ac:dyDescent="0.25">
      <c r="A76" s="1" t="s">
        <v>334</v>
      </c>
      <c r="B76" s="1" t="s">
        <v>31</v>
      </c>
      <c r="C76" s="1">
        <v>1106</v>
      </c>
      <c r="D76" s="1">
        <v>26</v>
      </c>
      <c r="E76" s="1">
        <v>35</v>
      </c>
      <c r="F76" s="1">
        <v>205</v>
      </c>
      <c r="G76" s="24">
        <v>1146.1099999999999</v>
      </c>
      <c r="H76" s="1" t="s">
        <v>25</v>
      </c>
      <c r="I76" s="1" t="s">
        <v>13</v>
      </c>
      <c r="J76" s="1" t="s">
        <v>18</v>
      </c>
      <c r="K76" s="1" t="s">
        <v>10</v>
      </c>
      <c r="L76" s="1" t="s">
        <v>0</v>
      </c>
    </row>
    <row r="77" spans="1:12" x14ac:dyDescent="0.25">
      <c r="A77" s="1" t="s">
        <v>333</v>
      </c>
      <c r="B77" s="1" t="s">
        <v>31</v>
      </c>
      <c r="C77" s="1">
        <v>1361</v>
      </c>
      <c r="D77" s="1">
        <v>22</v>
      </c>
      <c r="E77" s="1">
        <v>1</v>
      </c>
      <c r="F77" s="1">
        <v>377</v>
      </c>
      <c r="G77" s="24">
        <v>642.74</v>
      </c>
      <c r="H77" s="1" t="s">
        <v>29</v>
      </c>
      <c r="I77" s="1" t="s">
        <v>13</v>
      </c>
      <c r="J77" s="1" t="s">
        <v>11</v>
      </c>
      <c r="K77" s="1" t="s">
        <v>1</v>
      </c>
      <c r="L77" s="1" t="s">
        <v>0</v>
      </c>
    </row>
    <row r="78" spans="1:12" x14ac:dyDescent="0.25">
      <c r="A78" s="1" t="s">
        <v>332</v>
      </c>
      <c r="B78" s="1" t="s">
        <v>31</v>
      </c>
      <c r="C78" s="1">
        <v>2887</v>
      </c>
      <c r="D78" s="1">
        <v>33</v>
      </c>
      <c r="E78" s="1">
        <v>-3</v>
      </c>
      <c r="F78" s="1">
        <v>384</v>
      </c>
      <c r="G78" s="24">
        <v>2386.2199999999998</v>
      </c>
      <c r="H78" s="1" t="s">
        <v>25</v>
      </c>
      <c r="I78" s="1" t="s">
        <v>13</v>
      </c>
      <c r="J78" s="1" t="s">
        <v>11</v>
      </c>
      <c r="K78" s="1" t="s">
        <v>1</v>
      </c>
      <c r="L78" s="1" t="s">
        <v>0</v>
      </c>
    </row>
    <row r="79" spans="1:12" x14ac:dyDescent="0.25">
      <c r="A79" s="1" t="s">
        <v>331</v>
      </c>
      <c r="B79" s="1" t="s">
        <v>31</v>
      </c>
      <c r="C79" s="1">
        <v>1048</v>
      </c>
      <c r="D79" s="1">
        <v>39</v>
      </c>
      <c r="E79" s="1">
        <v>41</v>
      </c>
      <c r="F79" s="1">
        <v>63</v>
      </c>
      <c r="G79" s="24">
        <v>1233.27</v>
      </c>
      <c r="H79" s="1" t="s">
        <v>19</v>
      </c>
      <c r="I79" s="1" t="s">
        <v>3</v>
      </c>
      <c r="J79" s="1" t="s">
        <v>8</v>
      </c>
      <c r="K79" s="1" t="s">
        <v>7</v>
      </c>
      <c r="L79" s="1" t="s">
        <v>0</v>
      </c>
    </row>
    <row r="80" spans="1:12" x14ac:dyDescent="0.25">
      <c r="A80" s="1" t="s">
        <v>330</v>
      </c>
      <c r="B80" s="1" t="s">
        <v>31</v>
      </c>
      <c r="C80" s="1">
        <v>1554</v>
      </c>
      <c r="D80" s="1">
        <v>27</v>
      </c>
      <c r="E80" s="1">
        <v>33</v>
      </c>
      <c r="F80" s="1">
        <v>301</v>
      </c>
      <c r="G80" s="24">
        <v>1383.21</v>
      </c>
      <c r="H80" s="1" t="s">
        <v>25</v>
      </c>
      <c r="I80" s="1" t="s">
        <v>13</v>
      </c>
      <c r="J80" s="1" t="s">
        <v>18</v>
      </c>
      <c r="K80" s="1" t="s">
        <v>15</v>
      </c>
      <c r="L80" s="1" t="s">
        <v>0</v>
      </c>
    </row>
    <row r="81" spans="1:12" x14ac:dyDescent="0.25">
      <c r="A81" s="1" t="s">
        <v>329</v>
      </c>
      <c r="B81" s="1" t="s">
        <v>31</v>
      </c>
      <c r="C81" s="1">
        <v>1501</v>
      </c>
      <c r="D81" s="1">
        <v>14</v>
      </c>
      <c r="E81" s="1">
        <v>35</v>
      </c>
      <c r="F81" s="1">
        <v>179</v>
      </c>
      <c r="G81" s="24">
        <v>72.91</v>
      </c>
      <c r="H81" s="1" t="s">
        <v>14</v>
      </c>
      <c r="I81" s="1" t="s">
        <v>3</v>
      </c>
      <c r="J81" s="1" t="s">
        <v>2</v>
      </c>
      <c r="K81" s="1" t="s">
        <v>10</v>
      </c>
      <c r="L81" s="1" t="s">
        <v>0</v>
      </c>
    </row>
    <row r="82" spans="1:12" x14ac:dyDescent="0.25">
      <c r="A82" s="1" t="s">
        <v>328</v>
      </c>
      <c r="B82" s="1" t="s">
        <v>31</v>
      </c>
      <c r="C82" s="1">
        <v>2557</v>
      </c>
      <c r="D82" s="1">
        <v>13</v>
      </c>
      <c r="E82" s="1">
        <v>40</v>
      </c>
      <c r="F82" s="1">
        <v>385</v>
      </c>
      <c r="G82" s="24">
        <v>1745.31</v>
      </c>
      <c r="H82" s="1" t="s">
        <v>14</v>
      </c>
      <c r="I82" s="1" t="s">
        <v>3</v>
      </c>
      <c r="J82" s="1" t="s">
        <v>18</v>
      </c>
      <c r="K82" s="1" t="s">
        <v>7</v>
      </c>
      <c r="L82" s="1" t="s">
        <v>0</v>
      </c>
    </row>
    <row r="83" spans="1:12" x14ac:dyDescent="0.25">
      <c r="A83" s="1" t="s">
        <v>327</v>
      </c>
      <c r="B83" s="1" t="s">
        <v>31</v>
      </c>
      <c r="C83" s="1">
        <v>1945</v>
      </c>
      <c r="D83" s="1">
        <v>43</v>
      </c>
      <c r="E83" s="1">
        <v>33</v>
      </c>
      <c r="F83" s="1">
        <v>444</v>
      </c>
      <c r="G83" s="24">
        <v>2031.97</v>
      </c>
      <c r="H83" s="1" t="s">
        <v>29</v>
      </c>
      <c r="I83" s="1" t="s">
        <v>13</v>
      </c>
      <c r="J83" s="1" t="s">
        <v>18</v>
      </c>
      <c r="K83" s="1" t="s">
        <v>17</v>
      </c>
      <c r="L83" s="1" t="s">
        <v>0</v>
      </c>
    </row>
    <row r="84" spans="1:12" x14ac:dyDescent="0.25">
      <c r="A84" s="1" t="s">
        <v>326</v>
      </c>
      <c r="B84" s="1" t="s">
        <v>31</v>
      </c>
      <c r="C84" s="1">
        <v>606</v>
      </c>
      <c r="D84" s="1">
        <v>24</v>
      </c>
      <c r="E84" s="1">
        <v>31</v>
      </c>
      <c r="F84" s="1">
        <v>180</v>
      </c>
      <c r="G84" s="24">
        <v>1031.1400000000001</v>
      </c>
      <c r="H84" s="1" t="s">
        <v>25</v>
      </c>
      <c r="I84" s="1" t="s">
        <v>13</v>
      </c>
      <c r="J84" s="1" t="s">
        <v>18</v>
      </c>
      <c r="K84" s="1" t="s">
        <v>7</v>
      </c>
      <c r="L84" s="1" t="s">
        <v>0</v>
      </c>
    </row>
    <row r="85" spans="1:12" x14ac:dyDescent="0.25">
      <c r="A85" s="1" t="s">
        <v>325</v>
      </c>
      <c r="B85" s="1" t="s">
        <v>31</v>
      </c>
      <c r="C85" s="1">
        <v>1985</v>
      </c>
      <c r="D85" s="1">
        <v>40</v>
      </c>
      <c r="E85" s="1">
        <v>0</v>
      </c>
      <c r="F85" s="1">
        <v>136</v>
      </c>
      <c r="G85" s="24">
        <v>1362.16</v>
      </c>
      <c r="H85" s="1" t="s">
        <v>25</v>
      </c>
      <c r="I85" s="1" t="s">
        <v>13</v>
      </c>
      <c r="J85" s="1" t="s">
        <v>18</v>
      </c>
      <c r="K85" s="1" t="s">
        <v>10</v>
      </c>
      <c r="L85" s="1" t="s">
        <v>0</v>
      </c>
    </row>
    <row r="86" spans="1:12" x14ac:dyDescent="0.25">
      <c r="A86" s="1" t="s">
        <v>324</v>
      </c>
      <c r="B86" s="1" t="s">
        <v>31</v>
      </c>
      <c r="C86" s="1">
        <v>1785</v>
      </c>
      <c r="D86" s="1">
        <v>24</v>
      </c>
      <c r="E86" s="1">
        <v>29</v>
      </c>
      <c r="F86" s="1">
        <v>427</v>
      </c>
      <c r="G86" s="24">
        <v>797.54</v>
      </c>
      <c r="H86" s="1" t="s">
        <v>12</v>
      </c>
      <c r="I86" s="1" t="s">
        <v>13</v>
      </c>
      <c r="J86" s="1" t="s">
        <v>18</v>
      </c>
      <c r="K86" s="1" t="s">
        <v>7</v>
      </c>
      <c r="L86" s="1" t="s">
        <v>0</v>
      </c>
    </row>
    <row r="87" spans="1:12" x14ac:dyDescent="0.25">
      <c r="A87" s="1" t="s">
        <v>323</v>
      </c>
      <c r="B87" s="1" t="s">
        <v>31</v>
      </c>
      <c r="C87" s="1">
        <v>622</v>
      </c>
      <c r="D87" s="1">
        <v>38</v>
      </c>
      <c r="E87" s="1">
        <v>25</v>
      </c>
      <c r="F87" s="1">
        <v>101</v>
      </c>
      <c r="G87" s="24">
        <v>285.18</v>
      </c>
      <c r="H87" s="1" t="s">
        <v>14</v>
      </c>
      <c r="I87" s="1" t="s">
        <v>13</v>
      </c>
      <c r="J87" s="1" t="s">
        <v>18</v>
      </c>
      <c r="K87" s="1" t="s">
        <v>7</v>
      </c>
      <c r="L87" s="1" t="s">
        <v>0</v>
      </c>
    </row>
    <row r="88" spans="1:12" x14ac:dyDescent="0.25">
      <c r="A88" s="1" t="s">
        <v>322</v>
      </c>
      <c r="B88" s="1" t="s">
        <v>31</v>
      </c>
      <c r="C88" s="1">
        <v>1617</v>
      </c>
      <c r="D88" s="1">
        <v>45</v>
      </c>
      <c r="E88" s="1">
        <v>23</v>
      </c>
      <c r="F88" s="1">
        <v>296</v>
      </c>
      <c r="G88" s="24">
        <v>1985.54</v>
      </c>
      <c r="H88" s="1" t="s">
        <v>4</v>
      </c>
      <c r="I88" s="1" t="s">
        <v>13</v>
      </c>
      <c r="J88" s="1" t="s">
        <v>18</v>
      </c>
      <c r="K88" s="1" t="s">
        <v>7</v>
      </c>
      <c r="L88" s="1" t="s">
        <v>0</v>
      </c>
    </row>
    <row r="89" spans="1:12" x14ac:dyDescent="0.25">
      <c r="A89" s="1" t="s">
        <v>321</v>
      </c>
      <c r="B89" s="1" t="s">
        <v>31</v>
      </c>
      <c r="C89" s="1">
        <v>1109</v>
      </c>
      <c r="D89" s="1">
        <v>42</v>
      </c>
      <c r="E89" s="1">
        <v>38</v>
      </c>
      <c r="F89" s="1">
        <v>225</v>
      </c>
      <c r="G89" s="24">
        <v>98.42</v>
      </c>
      <c r="H89" s="1" t="s">
        <v>12</v>
      </c>
      <c r="I89" s="1" t="s">
        <v>13</v>
      </c>
      <c r="J89" s="1" t="s">
        <v>18</v>
      </c>
      <c r="K89" s="1" t="s">
        <v>10</v>
      </c>
      <c r="L89" s="1" t="s">
        <v>0</v>
      </c>
    </row>
    <row r="90" spans="1:12" x14ac:dyDescent="0.25">
      <c r="A90" s="1" t="s">
        <v>320</v>
      </c>
      <c r="B90" s="1" t="s">
        <v>31</v>
      </c>
      <c r="C90" s="1">
        <v>3466</v>
      </c>
      <c r="D90" s="1">
        <v>27</v>
      </c>
      <c r="E90" s="1">
        <v>33</v>
      </c>
      <c r="F90" s="1">
        <v>362</v>
      </c>
      <c r="G90" s="24">
        <v>1694.7</v>
      </c>
      <c r="H90" s="1" t="s">
        <v>12</v>
      </c>
      <c r="I90" s="1" t="s">
        <v>3</v>
      </c>
      <c r="J90" s="1" t="s">
        <v>11</v>
      </c>
      <c r="K90" s="1" t="s">
        <v>10</v>
      </c>
      <c r="L90" s="1" t="s">
        <v>0</v>
      </c>
    </row>
    <row r="91" spans="1:12" x14ac:dyDescent="0.25">
      <c r="A91" s="1" t="s">
        <v>319</v>
      </c>
      <c r="B91" s="1" t="s">
        <v>31</v>
      </c>
      <c r="C91" s="1">
        <v>1677</v>
      </c>
      <c r="D91" s="1">
        <v>35</v>
      </c>
      <c r="E91" s="1">
        <v>-1</v>
      </c>
      <c r="F91" s="1">
        <v>85</v>
      </c>
      <c r="G91" s="24">
        <v>2381.09</v>
      </c>
      <c r="H91" s="1" t="s">
        <v>4</v>
      </c>
      <c r="I91" s="1" t="s">
        <v>13</v>
      </c>
      <c r="J91" s="1" t="s">
        <v>18</v>
      </c>
      <c r="K91" s="1" t="s">
        <v>7</v>
      </c>
      <c r="L91" s="1" t="s">
        <v>0</v>
      </c>
    </row>
    <row r="92" spans="1:12" x14ac:dyDescent="0.25">
      <c r="A92" s="1" t="s">
        <v>318</v>
      </c>
      <c r="B92" s="1" t="s">
        <v>27</v>
      </c>
      <c r="C92" s="1">
        <v>1727</v>
      </c>
      <c r="D92" s="1">
        <v>31</v>
      </c>
      <c r="E92" s="1">
        <v>9</v>
      </c>
      <c r="F92" s="1">
        <v>321</v>
      </c>
      <c r="G92" s="24">
        <v>2277.98</v>
      </c>
      <c r="H92" s="1" t="s">
        <v>4</v>
      </c>
      <c r="I92" s="1" t="s">
        <v>13</v>
      </c>
      <c r="J92" s="1" t="s">
        <v>18</v>
      </c>
      <c r="K92" s="1" t="s">
        <v>17</v>
      </c>
      <c r="L92" s="1" t="s">
        <v>0</v>
      </c>
    </row>
    <row r="93" spans="1:12" x14ac:dyDescent="0.25">
      <c r="A93" s="1" t="s">
        <v>317</v>
      </c>
      <c r="B93" s="1" t="s">
        <v>27</v>
      </c>
      <c r="C93" s="1">
        <v>3265</v>
      </c>
      <c r="D93" s="1">
        <v>20</v>
      </c>
      <c r="E93" s="1">
        <v>-4</v>
      </c>
      <c r="F93" s="1">
        <v>319</v>
      </c>
      <c r="G93" s="24">
        <v>91.18</v>
      </c>
      <c r="H93" s="1" t="s">
        <v>12</v>
      </c>
      <c r="I93" s="1" t="s">
        <v>13</v>
      </c>
      <c r="J93" s="1" t="s">
        <v>11</v>
      </c>
      <c r="K93" s="1" t="s">
        <v>17</v>
      </c>
      <c r="L93" s="1" t="s">
        <v>0</v>
      </c>
    </row>
    <row r="94" spans="1:12" x14ac:dyDescent="0.25">
      <c r="A94" s="1" t="s">
        <v>316</v>
      </c>
      <c r="B94" s="1" t="s">
        <v>27</v>
      </c>
      <c r="C94" s="1">
        <v>4191</v>
      </c>
      <c r="D94" s="1">
        <v>19</v>
      </c>
      <c r="E94" s="1">
        <v>-1</v>
      </c>
      <c r="F94" s="1">
        <v>235</v>
      </c>
      <c r="G94" s="24">
        <v>2159.61</v>
      </c>
      <c r="H94" s="1" t="s">
        <v>19</v>
      </c>
      <c r="I94" s="1" t="s">
        <v>3</v>
      </c>
      <c r="J94" s="1" t="s">
        <v>18</v>
      </c>
      <c r="K94" s="1" t="s">
        <v>7</v>
      </c>
      <c r="L94" s="1" t="s">
        <v>0</v>
      </c>
    </row>
    <row r="95" spans="1:12" x14ac:dyDescent="0.25">
      <c r="A95" s="1" t="s">
        <v>315</v>
      </c>
      <c r="B95" s="1" t="s">
        <v>27</v>
      </c>
      <c r="C95" s="1">
        <v>2726</v>
      </c>
      <c r="D95" s="1">
        <v>35</v>
      </c>
      <c r="E95" s="1">
        <v>48</v>
      </c>
      <c r="F95" s="1">
        <v>399</v>
      </c>
      <c r="G95" s="24">
        <v>314.06</v>
      </c>
      <c r="H95" s="1" t="s">
        <v>12</v>
      </c>
      <c r="I95" s="1" t="s">
        <v>13</v>
      </c>
      <c r="J95" s="1" t="s">
        <v>18</v>
      </c>
      <c r="K95" s="1" t="s">
        <v>21</v>
      </c>
      <c r="L95" s="1" t="s">
        <v>0</v>
      </c>
    </row>
    <row r="96" spans="1:12" x14ac:dyDescent="0.25">
      <c r="A96" s="1" t="s">
        <v>314</v>
      </c>
      <c r="B96" s="1" t="s">
        <v>27</v>
      </c>
      <c r="C96" s="1">
        <v>2077</v>
      </c>
      <c r="D96" s="1">
        <v>24</v>
      </c>
      <c r="E96" s="1">
        <v>50</v>
      </c>
      <c r="F96" s="1">
        <v>20</v>
      </c>
      <c r="G96" s="24">
        <v>1560.44</v>
      </c>
      <c r="H96" s="1" t="s">
        <v>14</v>
      </c>
      <c r="I96" s="1" t="s">
        <v>13</v>
      </c>
      <c r="J96" s="1" t="s">
        <v>18</v>
      </c>
      <c r="K96" s="1" t="s">
        <v>10</v>
      </c>
      <c r="L96" s="1" t="s">
        <v>0</v>
      </c>
    </row>
    <row r="97" spans="1:12" x14ac:dyDescent="0.25">
      <c r="A97" s="1" t="s">
        <v>313</v>
      </c>
      <c r="B97" s="1" t="s">
        <v>27</v>
      </c>
      <c r="C97" s="1">
        <v>4447</v>
      </c>
      <c r="D97" s="1">
        <v>10</v>
      </c>
      <c r="E97" s="1">
        <v>-2</v>
      </c>
      <c r="F97" s="1">
        <v>225</v>
      </c>
      <c r="G97" s="24">
        <v>1457.28</v>
      </c>
      <c r="H97" s="1" t="s">
        <v>14</v>
      </c>
      <c r="I97" s="1" t="s">
        <v>13</v>
      </c>
      <c r="J97" s="1" t="s">
        <v>18</v>
      </c>
      <c r="K97" s="1" t="s">
        <v>7</v>
      </c>
      <c r="L97" s="1" t="s">
        <v>0</v>
      </c>
    </row>
    <row r="98" spans="1:12" x14ac:dyDescent="0.25">
      <c r="A98" s="1" t="s">
        <v>312</v>
      </c>
      <c r="B98" s="1" t="s">
        <v>27</v>
      </c>
      <c r="C98" s="1">
        <v>2541</v>
      </c>
      <c r="D98" s="1">
        <v>6</v>
      </c>
      <c r="E98" s="1">
        <v>30</v>
      </c>
      <c r="F98" s="1">
        <v>230</v>
      </c>
      <c r="G98" s="24">
        <v>1252.08</v>
      </c>
      <c r="H98" s="1" t="s">
        <v>25</v>
      </c>
      <c r="I98" s="1" t="s">
        <v>13</v>
      </c>
      <c r="J98" s="1" t="s">
        <v>2</v>
      </c>
      <c r="K98" s="1" t="s">
        <v>10</v>
      </c>
      <c r="L98" s="1" t="s">
        <v>0</v>
      </c>
    </row>
    <row r="99" spans="1:12" x14ac:dyDescent="0.25">
      <c r="A99" s="1" t="s">
        <v>311</v>
      </c>
      <c r="B99" s="1" t="s">
        <v>27</v>
      </c>
      <c r="C99" s="1">
        <v>2249</v>
      </c>
      <c r="D99" s="1">
        <v>42</v>
      </c>
      <c r="E99" s="1">
        <v>4</v>
      </c>
      <c r="F99" s="1">
        <v>174</v>
      </c>
      <c r="G99" s="24">
        <v>1423.34</v>
      </c>
      <c r="H99" s="1" t="s">
        <v>4</v>
      </c>
      <c r="I99" s="1" t="s">
        <v>3</v>
      </c>
      <c r="J99" s="1" t="s">
        <v>11</v>
      </c>
      <c r="K99" s="1" t="s">
        <v>17</v>
      </c>
      <c r="L99" s="1" t="s">
        <v>0</v>
      </c>
    </row>
    <row r="100" spans="1:12" x14ac:dyDescent="0.25">
      <c r="A100" s="1" t="s">
        <v>310</v>
      </c>
      <c r="B100" s="1" t="s">
        <v>27</v>
      </c>
      <c r="C100" s="1">
        <v>2505</v>
      </c>
      <c r="D100" s="1">
        <v>13</v>
      </c>
      <c r="E100" s="1">
        <v>22</v>
      </c>
      <c r="F100" s="1">
        <v>278</v>
      </c>
      <c r="G100" s="24">
        <v>734.9</v>
      </c>
      <c r="H100" s="1" t="s">
        <v>14</v>
      </c>
      <c r="I100" s="1" t="s">
        <v>13</v>
      </c>
      <c r="J100" s="1" t="s">
        <v>2</v>
      </c>
      <c r="K100" s="1" t="s">
        <v>7</v>
      </c>
      <c r="L100" s="1" t="s">
        <v>0</v>
      </c>
    </row>
    <row r="101" spans="1:12" x14ac:dyDescent="0.25">
      <c r="A101" s="1" t="s">
        <v>309</v>
      </c>
      <c r="B101" s="1" t="s">
        <v>27</v>
      </c>
      <c r="C101" s="1">
        <v>4596</v>
      </c>
      <c r="D101" s="1">
        <v>31</v>
      </c>
      <c r="E101" s="1">
        <v>11</v>
      </c>
      <c r="F101" s="1">
        <v>431</v>
      </c>
      <c r="G101" s="24">
        <v>145.55000000000001</v>
      </c>
      <c r="H101" s="1" t="s">
        <v>12</v>
      </c>
      <c r="I101" s="1" t="s">
        <v>13</v>
      </c>
      <c r="J101" s="1" t="s">
        <v>11</v>
      </c>
      <c r="K101" s="1" t="s">
        <v>1</v>
      </c>
      <c r="L101" s="1" t="s">
        <v>0</v>
      </c>
    </row>
    <row r="102" spans="1:12" x14ac:dyDescent="0.25">
      <c r="A102" s="1" t="s">
        <v>308</v>
      </c>
      <c r="B102" s="1" t="s">
        <v>27</v>
      </c>
      <c r="C102" s="1">
        <v>2556</v>
      </c>
      <c r="D102" s="1">
        <v>9</v>
      </c>
      <c r="E102" s="1">
        <v>19</v>
      </c>
      <c r="F102" s="1">
        <v>358</v>
      </c>
      <c r="G102" s="24">
        <v>133.6</v>
      </c>
      <c r="H102" s="1" t="s">
        <v>29</v>
      </c>
      <c r="I102" s="1" t="s">
        <v>13</v>
      </c>
      <c r="J102" s="1" t="s">
        <v>18</v>
      </c>
      <c r="K102" s="1" t="s">
        <v>7</v>
      </c>
      <c r="L102" s="1" t="s">
        <v>0</v>
      </c>
    </row>
    <row r="103" spans="1:12" x14ac:dyDescent="0.25">
      <c r="A103" s="1" t="s">
        <v>307</v>
      </c>
      <c r="B103" s="1" t="s">
        <v>27</v>
      </c>
      <c r="C103" s="1">
        <v>4167</v>
      </c>
      <c r="D103" s="1">
        <v>31</v>
      </c>
      <c r="E103" s="1">
        <v>28</v>
      </c>
      <c r="F103" s="1">
        <v>23</v>
      </c>
      <c r="G103" s="24">
        <v>666.25</v>
      </c>
      <c r="H103" s="1" t="s">
        <v>14</v>
      </c>
      <c r="I103" s="1" t="s">
        <v>13</v>
      </c>
      <c r="J103" s="1" t="s">
        <v>11</v>
      </c>
      <c r="K103" s="1" t="s">
        <v>1</v>
      </c>
      <c r="L103" s="1" t="s">
        <v>0</v>
      </c>
    </row>
    <row r="104" spans="1:12" x14ac:dyDescent="0.25">
      <c r="A104" s="1" t="s">
        <v>306</v>
      </c>
      <c r="B104" s="1" t="s">
        <v>27</v>
      </c>
      <c r="C104" s="1">
        <v>3492</v>
      </c>
      <c r="D104" s="1">
        <v>31</v>
      </c>
      <c r="E104" s="1">
        <v>3</v>
      </c>
      <c r="F104" s="1">
        <v>393</v>
      </c>
      <c r="G104" s="24">
        <v>688</v>
      </c>
      <c r="H104" s="1" t="s">
        <v>14</v>
      </c>
      <c r="I104" s="1" t="s">
        <v>13</v>
      </c>
      <c r="J104" s="1" t="s">
        <v>18</v>
      </c>
      <c r="K104" s="1" t="s">
        <v>17</v>
      </c>
      <c r="L104" s="1" t="s">
        <v>0</v>
      </c>
    </row>
    <row r="105" spans="1:12" x14ac:dyDescent="0.25">
      <c r="A105" s="1" t="s">
        <v>305</v>
      </c>
      <c r="B105" s="1" t="s">
        <v>27</v>
      </c>
      <c r="C105" s="1">
        <v>3375</v>
      </c>
      <c r="D105" s="1">
        <v>35</v>
      </c>
      <c r="E105" s="1">
        <v>45</v>
      </c>
      <c r="F105" s="1">
        <v>164</v>
      </c>
      <c r="G105" s="24">
        <v>644.39</v>
      </c>
      <c r="H105" s="1" t="s">
        <v>14</v>
      </c>
      <c r="I105" s="1" t="s">
        <v>13</v>
      </c>
      <c r="J105" s="1" t="s">
        <v>11</v>
      </c>
      <c r="K105" s="1" t="s">
        <v>1</v>
      </c>
      <c r="L105" s="1" t="s">
        <v>0</v>
      </c>
    </row>
    <row r="106" spans="1:12" x14ac:dyDescent="0.25">
      <c r="A106" s="1" t="s">
        <v>304</v>
      </c>
      <c r="B106" s="1" t="s">
        <v>27</v>
      </c>
      <c r="C106" s="1">
        <v>1514</v>
      </c>
      <c r="D106" s="1">
        <v>30</v>
      </c>
      <c r="E106" s="1">
        <v>45</v>
      </c>
      <c r="F106" s="1">
        <v>414</v>
      </c>
      <c r="G106" s="24">
        <v>1357.74</v>
      </c>
      <c r="H106" s="1" t="s">
        <v>12</v>
      </c>
      <c r="I106" s="1" t="s">
        <v>13</v>
      </c>
      <c r="J106" s="1" t="s">
        <v>18</v>
      </c>
      <c r="K106" s="1" t="s">
        <v>7</v>
      </c>
      <c r="L106" s="1" t="s">
        <v>0</v>
      </c>
    </row>
    <row r="107" spans="1:12" x14ac:dyDescent="0.25">
      <c r="A107" s="1" t="s">
        <v>303</v>
      </c>
      <c r="B107" s="1" t="s">
        <v>27</v>
      </c>
      <c r="C107" s="1">
        <v>3184</v>
      </c>
      <c r="D107" s="1">
        <v>37</v>
      </c>
      <c r="E107" s="1">
        <v>21</v>
      </c>
      <c r="F107" s="1">
        <v>22</v>
      </c>
      <c r="G107" s="24">
        <v>771.84</v>
      </c>
      <c r="H107" s="1" t="s">
        <v>14</v>
      </c>
      <c r="I107" s="1" t="s">
        <v>13</v>
      </c>
      <c r="J107" s="1" t="s">
        <v>2</v>
      </c>
      <c r="K107" s="1" t="s">
        <v>1</v>
      </c>
      <c r="L107" s="1" t="s">
        <v>0</v>
      </c>
    </row>
    <row r="108" spans="1:12" x14ac:dyDescent="0.25">
      <c r="A108" s="1" t="s">
        <v>302</v>
      </c>
      <c r="B108" s="1" t="s">
        <v>27</v>
      </c>
      <c r="C108" s="1">
        <v>2543</v>
      </c>
      <c r="D108" s="1">
        <v>35</v>
      </c>
      <c r="E108" s="1">
        <v>41</v>
      </c>
      <c r="F108" s="1">
        <v>390</v>
      </c>
      <c r="G108" s="24">
        <v>1829.59</v>
      </c>
      <c r="H108" s="1" t="s">
        <v>14</v>
      </c>
      <c r="I108" s="1" t="s">
        <v>3</v>
      </c>
      <c r="J108" s="1" t="s">
        <v>18</v>
      </c>
      <c r="K108" s="1" t="s">
        <v>7</v>
      </c>
      <c r="L108" s="1" t="s">
        <v>0</v>
      </c>
    </row>
    <row r="109" spans="1:12" x14ac:dyDescent="0.25">
      <c r="A109" s="1" t="s">
        <v>301</v>
      </c>
      <c r="B109" s="1" t="s">
        <v>27</v>
      </c>
      <c r="C109" s="1">
        <v>4920</v>
      </c>
      <c r="D109" s="1">
        <v>5</v>
      </c>
      <c r="E109" s="1">
        <v>10</v>
      </c>
      <c r="F109" s="1">
        <v>170</v>
      </c>
      <c r="G109" s="24">
        <v>1986.18</v>
      </c>
      <c r="H109" s="1" t="s">
        <v>12</v>
      </c>
      <c r="I109" s="1" t="s">
        <v>3</v>
      </c>
      <c r="J109" s="1" t="s">
        <v>18</v>
      </c>
      <c r="K109" s="1" t="s">
        <v>10</v>
      </c>
      <c r="L109" s="1" t="s">
        <v>0</v>
      </c>
    </row>
    <row r="110" spans="1:12" x14ac:dyDescent="0.25">
      <c r="A110" s="1" t="s">
        <v>300</v>
      </c>
      <c r="B110" s="1" t="s">
        <v>27</v>
      </c>
      <c r="C110" s="1">
        <v>4632</v>
      </c>
      <c r="D110" s="1">
        <v>44</v>
      </c>
      <c r="E110" s="1">
        <v>5</v>
      </c>
      <c r="F110" s="1">
        <v>388</v>
      </c>
      <c r="G110" s="24">
        <v>1049.83</v>
      </c>
      <c r="H110" s="1" t="s">
        <v>12</v>
      </c>
      <c r="I110" s="1" t="s">
        <v>3</v>
      </c>
      <c r="J110" s="1" t="s">
        <v>18</v>
      </c>
      <c r="K110" s="1" t="s">
        <v>1</v>
      </c>
      <c r="L110" s="1" t="s">
        <v>0</v>
      </c>
    </row>
    <row r="111" spans="1:12" x14ac:dyDescent="0.25">
      <c r="A111" s="1" t="s">
        <v>299</v>
      </c>
      <c r="B111" s="1" t="s">
        <v>27</v>
      </c>
      <c r="C111" s="1">
        <v>4682</v>
      </c>
      <c r="D111" s="1">
        <v>45</v>
      </c>
      <c r="E111" s="1">
        <v>12</v>
      </c>
      <c r="F111" s="1">
        <v>192</v>
      </c>
      <c r="G111" s="24">
        <v>1868.35</v>
      </c>
      <c r="H111" s="1" t="s">
        <v>4</v>
      </c>
      <c r="I111" s="1" t="s">
        <v>3</v>
      </c>
      <c r="J111" s="1" t="s">
        <v>18</v>
      </c>
      <c r="K111" s="1" t="s">
        <v>17</v>
      </c>
      <c r="L111" s="1" t="s">
        <v>0</v>
      </c>
    </row>
    <row r="112" spans="1:12" x14ac:dyDescent="0.25">
      <c r="A112" s="1" t="s">
        <v>298</v>
      </c>
      <c r="B112" s="1" t="s">
        <v>27</v>
      </c>
      <c r="C112" s="1">
        <v>779</v>
      </c>
      <c r="D112" s="1">
        <v>20</v>
      </c>
      <c r="E112" s="1">
        <v>4</v>
      </c>
      <c r="F112" s="1">
        <v>191</v>
      </c>
      <c r="G112" s="24">
        <v>683.14</v>
      </c>
      <c r="H112" s="1" t="s">
        <v>25</v>
      </c>
      <c r="I112" s="1" t="s">
        <v>13</v>
      </c>
      <c r="J112" s="1" t="s">
        <v>2</v>
      </c>
      <c r="K112" s="1" t="s">
        <v>17</v>
      </c>
      <c r="L112" s="1" t="s">
        <v>0</v>
      </c>
    </row>
    <row r="113" spans="1:12" x14ac:dyDescent="0.25">
      <c r="A113" s="1" t="s">
        <v>297</v>
      </c>
      <c r="B113" s="1" t="s">
        <v>27</v>
      </c>
      <c r="C113" s="1">
        <v>1171</v>
      </c>
      <c r="D113" s="1">
        <v>31</v>
      </c>
      <c r="E113" s="1">
        <v>42</v>
      </c>
      <c r="F113" s="1">
        <v>324</v>
      </c>
      <c r="G113" s="24">
        <v>375.07</v>
      </c>
      <c r="H113" s="1" t="s">
        <v>12</v>
      </c>
      <c r="I113" s="1" t="s">
        <v>13</v>
      </c>
      <c r="J113" s="1" t="s">
        <v>18</v>
      </c>
      <c r="K113" s="1" t="s">
        <v>7</v>
      </c>
      <c r="L113" s="1" t="s">
        <v>0</v>
      </c>
    </row>
    <row r="114" spans="1:12" x14ac:dyDescent="0.25">
      <c r="A114" s="1" t="s">
        <v>296</v>
      </c>
      <c r="B114" s="1" t="s">
        <v>27</v>
      </c>
      <c r="C114" s="1">
        <v>2645</v>
      </c>
      <c r="D114" s="1">
        <v>39</v>
      </c>
      <c r="E114" s="1">
        <v>-2</v>
      </c>
      <c r="F114" s="1">
        <v>300</v>
      </c>
      <c r="G114" s="24">
        <v>1459.49</v>
      </c>
      <c r="H114" s="1" t="s">
        <v>14</v>
      </c>
      <c r="I114" s="1" t="s">
        <v>13</v>
      </c>
      <c r="J114" s="1" t="s">
        <v>18</v>
      </c>
      <c r="K114" s="1" t="s">
        <v>10</v>
      </c>
      <c r="L114" s="1" t="s">
        <v>0</v>
      </c>
    </row>
    <row r="115" spans="1:12" x14ac:dyDescent="0.25">
      <c r="A115" s="1" t="s">
        <v>295</v>
      </c>
      <c r="B115" s="1" t="s">
        <v>27</v>
      </c>
      <c r="C115" s="1">
        <v>4075</v>
      </c>
      <c r="D115" s="1">
        <v>13</v>
      </c>
      <c r="E115" s="1">
        <v>42</v>
      </c>
      <c r="F115" s="1">
        <v>410</v>
      </c>
      <c r="G115" s="24">
        <v>1369.59</v>
      </c>
      <c r="H115" s="1" t="s">
        <v>19</v>
      </c>
      <c r="I115" s="1" t="s">
        <v>3</v>
      </c>
      <c r="J115" s="1" t="s">
        <v>18</v>
      </c>
      <c r="K115" s="1" t="s">
        <v>21</v>
      </c>
      <c r="L115" s="1" t="s">
        <v>0</v>
      </c>
    </row>
    <row r="116" spans="1:12" x14ac:dyDescent="0.25">
      <c r="A116" s="1" t="s">
        <v>294</v>
      </c>
      <c r="B116" s="1" t="s">
        <v>27</v>
      </c>
      <c r="C116" s="1">
        <v>1572</v>
      </c>
      <c r="D116" s="1">
        <v>39</v>
      </c>
      <c r="E116" s="1">
        <v>15</v>
      </c>
      <c r="F116" s="1">
        <v>29</v>
      </c>
      <c r="G116" s="24">
        <v>1267.27</v>
      </c>
      <c r="H116" s="1" t="s">
        <v>14</v>
      </c>
      <c r="I116" s="1" t="s">
        <v>13</v>
      </c>
      <c r="J116" s="1" t="s">
        <v>18</v>
      </c>
      <c r="K116" s="1" t="s">
        <v>7</v>
      </c>
      <c r="L116" s="1" t="s">
        <v>0</v>
      </c>
    </row>
    <row r="117" spans="1:12" x14ac:dyDescent="0.25">
      <c r="A117" s="1" t="s">
        <v>293</v>
      </c>
      <c r="B117" s="1" t="s">
        <v>27</v>
      </c>
      <c r="C117" s="1">
        <v>4284</v>
      </c>
      <c r="D117" s="1">
        <v>20</v>
      </c>
      <c r="E117" s="1">
        <v>18</v>
      </c>
      <c r="F117" s="1">
        <v>412</v>
      </c>
      <c r="G117" s="24">
        <v>105.4</v>
      </c>
      <c r="H117" s="1" t="s">
        <v>19</v>
      </c>
      <c r="I117" s="1" t="s">
        <v>3</v>
      </c>
      <c r="J117" s="1" t="s">
        <v>11</v>
      </c>
      <c r="K117" s="1" t="s">
        <v>7</v>
      </c>
      <c r="L117" s="1" t="s">
        <v>0</v>
      </c>
    </row>
    <row r="118" spans="1:12" x14ac:dyDescent="0.25">
      <c r="A118" s="1" t="s">
        <v>292</v>
      </c>
      <c r="B118" s="1" t="s">
        <v>27</v>
      </c>
      <c r="C118" s="1">
        <v>524</v>
      </c>
      <c r="D118" s="1">
        <v>5</v>
      </c>
      <c r="E118" s="1">
        <v>22</v>
      </c>
      <c r="F118" s="1">
        <v>324</v>
      </c>
      <c r="G118" s="24">
        <v>1127.05</v>
      </c>
      <c r="H118" s="1" t="s">
        <v>14</v>
      </c>
      <c r="I118" s="1" t="s">
        <v>13</v>
      </c>
      <c r="J118" s="1" t="s">
        <v>11</v>
      </c>
      <c r="K118" s="1" t="s">
        <v>7</v>
      </c>
      <c r="L118" s="1" t="s">
        <v>0</v>
      </c>
    </row>
    <row r="119" spans="1:12" x14ac:dyDescent="0.25">
      <c r="A119" s="1" t="s">
        <v>291</v>
      </c>
      <c r="B119" s="1" t="s">
        <v>27</v>
      </c>
      <c r="C119" s="1">
        <v>2590</v>
      </c>
      <c r="D119" s="1">
        <v>36</v>
      </c>
      <c r="E119" s="1">
        <v>-2</v>
      </c>
      <c r="F119" s="1">
        <v>192</v>
      </c>
      <c r="G119" s="24">
        <v>1327.14</v>
      </c>
      <c r="H119" s="1" t="s">
        <v>12</v>
      </c>
      <c r="I119" s="1" t="s">
        <v>13</v>
      </c>
      <c r="J119" s="1" t="s">
        <v>11</v>
      </c>
      <c r="K119" s="1" t="s">
        <v>10</v>
      </c>
      <c r="L119" s="1" t="s">
        <v>0</v>
      </c>
    </row>
    <row r="120" spans="1:12" x14ac:dyDescent="0.25">
      <c r="A120" s="1" t="s">
        <v>290</v>
      </c>
      <c r="B120" s="1" t="s">
        <v>27</v>
      </c>
      <c r="C120" s="1">
        <v>4253</v>
      </c>
      <c r="D120" s="1">
        <v>41</v>
      </c>
      <c r="E120" s="1">
        <v>28</v>
      </c>
      <c r="F120" s="1">
        <v>72</v>
      </c>
      <c r="G120" s="24">
        <v>729.82</v>
      </c>
      <c r="H120" s="1" t="s">
        <v>19</v>
      </c>
      <c r="I120" s="1" t="s">
        <v>13</v>
      </c>
      <c r="J120" s="1" t="s">
        <v>18</v>
      </c>
      <c r="K120" s="1" t="s">
        <v>7</v>
      </c>
      <c r="L120" s="1" t="s">
        <v>0</v>
      </c>
    </row>
    <row r="121" spans="1:12" x14ac:dyDescent="0.25">
      <c r="A121" s="1" t="s">
        <v>289</v>
      </c>
      <c r="B121" s="1" t="s">
        <v>27</v>
      </c>
      <c r="C121" s="1">
        <v>4117</v>
      </c>
      <c r="D121" s="1">
        <v>24</v>
      </c>
      <c r="E121" s="1">
        <v>28</v>
      </c>
      <c r="F121" s="1">
        <v>145</v>
      </c>
      <c r="G121" s="24">
        <v>1438.94</v>
      </c>
      <c r="H121" s="1" t="s">
        <v>4</v>
      </c>
      <c r="I121" s="1" t="s">
        <v>3</v>
      </c>
      <c r="J121" s="1" t="s">
        <v>18</v>
      </c>
      <c r="K121" s="1" t="s">
        <v>1</v>
      </c>
      <c r="L121" s="1" t="s">
        <v>0</v>
      </c>
    </row>
    <row r="122" spans="1:12" x14ac:dyDescent="0.25">
      <c r="A122" s="1" t="s">
        <v>288</v>
      </c>
      <c r="B122" s="1" t="s">
        <v>23</v>
      </c>
      <c r="C122" s="1">
        <v>4920</v>
      </c>
      <c r="D122" s="1">
        <v>43</v>
      </c>
      <c r="E122" s="1">
        <v>44</v>
      </c>
      <c r="F122" s="1">
        <v>369</v>
      </c>
      <c r="G122" s="24">
        <v>8.65</v>
      </c>
      <c r="H122" s="1" t="s">
        <v>14</v>
      </c>
      <c r="I122" s="1" t="s">
        <v>3</v>
      </c>
      <c r="J122" s="1" t="s">
        <v>18</v>
      </c>
      <c r="K122" s="1" t="s">
        <v>10</v>
      </c>
      <c r="L122" s="1" t="s">
        <v>209</v>
      </c>
    </row>
    <row r="123" spans="1:12" x14ac:dyDescent="0.25">
      <c r="A123" s="1" t="s">
        <v>287</v>
      </c>
      <c r="B123" s="1" t="s">
        <v>23</v>
      </c>
      <c r="C123" s="1">
        <v>1994</v>
      </c>
      <c r="D123" s="1">
        <v>43</v>
      </c>
      <c r="E123" s="1">
        <v>10</v>
      </c>
      <c r="F123" s="1">
        <v>413</v>
      </c>
      <c r="G123" s="24">
        <v>723.57</v>
      </c>
      <c r="H123" s="1" t="s">
        <v>4</v>
      </c>
      <c r="I123" s="1" t="s">
        <v>3</v>
      </c>
      <c r="J123" s="1" t="s">
        <v>18</v>
      </c>
      <c r="K123" s="1" t="s">
        <v>7</v>
      </c>
      <c r="L123" s="1" t="s">
        <v>209</v>
      </c>
    </row>
    <row r="124" spans="1:12" x14ac:dyDescent="0.25">
      <c r="A124" s="1" t="s">
        <v>286</v>
      </c>
      <c r="B124" s="1" t="s">
        <v>23</v>
      </c>
      <c r="C124" s="1">
        <v>794</v>
      </c>
      <c r="D124" s="1">
        <v>41</v>
      </c>
      <c r="E124" s="1">
        <v>41</v>
      </c>
      <c r="F124" s="1">
        <v>231</v>
      </c>
      <c r="G124" s="24">
        <v>1208.01</v>
      </c>
      <c r="H124" s="1" t="s">
        <v>19</v>
      </c>
      <c r="I124" s="1" t="s">
        <v>3</v>
      </c>
      <c r="J124" s="1" t="s">
        <v>18</v>
      </c>
      <c r="K124" s="1" t="s">
        <v>17</v>
      </c>
      <c r="L124" s="1" t="s">
        <v>209</v>
      </c>
    </row>
    <row r="125" spans="1:12" x14ac:dyDescent="0.25">
      <c r="A125" s="1" t="s">
        <v>285</v>
      </c>
      <c r="B125" s="1" t="s">
        <v>23</v>
      </c>
      <c r="C125" s="1">
        <v>3915</v>
      </c>
      <c r="D125" s="1">
        <v>17</v>
      </c>
      <c r="E125" s="1">
        <v>43</v>
      </c>
      <c r="F125" s="1">
        <v>304</v>
      </c>
      <c r="G125" s="24">
        <v>1819.6</v>
      </c>
      <c r="H125" s="1" t="s">
        <v>4</v>
      </c>
      <c r="I125" s="1" t="s">
        <v>13</v>
      </c>
      <c r="J125" s="1" t="s">
        <v>18</v>
      </c>
      <c r="K125" s="1" t="s">
        <v>10</v>
      </c>
      <c r="L125" s="1" t="s">
        <v>209</v>
      </c>
    </row>
    <row r="126" spans="1:12" x14ac:dyDescent="0.25">
      <c r="A126" s="1" t="s">
        <v>284</v>
      </c>
      <c r="B126" s="1" t="s">
        <v>23</v>
      </c>
      <c r="C126" s="1">
        <v>1424</v>
      </c>
      <c r="D126" s="1">
        <v>3</v>
      </c>
      <c r="E126" s="1">
        <v>6</v>
      </c>
      <c r="F126" s="1">
        <v>288</v>
      </c>
      <c r="G126" s="24">
        <v>2115.58</v>
      </c>
      <c r="H126" s="1" t="s">
        <v>12</v>
      </c>
      <c r="I126" s="1" t="s">
        <v>13</v>
      </c>
      <c r="J126" s="1" t="s">
        <v>11</v>
      </c>
      <c r="K126" s="1" t="s">
        <v>7</v>
      </c>
      <c r="L126" s="1" t="s">
        <v>209</v>
      </c>
    </row>
    <row r="127" spans="1:12" x14ac:dyDescent="0.25">
      <c r="A127" s="1" t="s">
        <v>283</v>
      </c>
      <c r="B127" s="1" t="s">
        <v>23</v>
      </c>
      <c r="C127" s="1">
        <v>1545</v>
      </c>
      <c r="D127" s="1">
        <v>33</v>
      </c>
      <c r="E127" s="1">
        <v>1</v>
      </c>
      <c r="F127" s="1">
        <v>215</v>
      </c>
      <c r="G127" s="24">
        <v>1915.41</v>
      </c>
      <c r="H127" s="1" t="s">
        <v>14</v>
      </c>
      <c r="I127" s="1" t="s">
        <v>13</v>
      </c>
      <c r="J127" s="1" t="s">
        <v>18</v>
      </c>
      <c r="K127" s="1" t="s">
        <v>7</v>
      </c>
      <c r="L127" s="1" t="s">
        <v>209</v>
      </c>
    </row>
    <row r="128" spans="1:12" x14ac:dyDescent="0.25">
      <c r="A128" s="1" t="s">
        <v>282</v>
      </c>
      <c r="B128" s="1" t="s">
        <v>23</v>
      </c>
      <c r="C128" s="1">
        <v>3372</v>
      </c>
      <c r="D128" s="1">
        <v>22</v>
      </c>
      <c r="E128" s="1">
        <v>37</v>
      </c>
      <c r="F128" s="1">
        <v>370</v>
      </c>
      <c r="G128" s="24">
        <v>193.12</v>
      </c>
      <c r="H128" s="1" t="s">
        <v>29</v>
      </c>
      <c r="I128" s="1" t="s">
        <v>13</v>
      </c>
      <c r="J128" s="1" t="s">
        <v>18</v>
      </c>
      <c r="K128" s="1" t="s">
        <v>21</v>
      </c>
      <c r="L128" s="1" t="s">
        <v>209</v>
      </c>
    </row>
    <row r="129" spans="1:12" x14ac:dyDescent="0.25">
      <c r="A129" s="1" t="s">
        <v>281</v>
      </c>
      <c r="B129" s="1" t="s">
        <v>23</v>
      </c>
      <c r="C129" s="1">
        <v>4570</v>
      </c>
      <c r="D129" s="1">
        <v>11</v>
      </c>
      <c r="E129" s="1">
        <v>24</v>
      </c>
      <c r="F129" s="1">
        <v>71</v>
      </c>
      <c r="G129" s="24">
        <v>1449.9</v>
      </c>
      <c r="H129" s="1" t="s">
        <v>4</v>
      </c>
      <c r="I129" s="1" t="s">
        <v>13</v>
      </c>
      <c r="J129" s="1" t="s">
        <v>18</v>
      </c>
      <c r="K129" s="1" t="s">
        <v>21</v>
      </c>
      <c r="L129" s="1" t="s">
        <v>209</v>
      </c>
    </row>
    <row r="130" spans="1:12" x14ac:dyDescent="0.25">
      <c r="A130" s="1" t="s">
        <v>280</v>
      </c>
      <c r="B130" s="1" t="s">
        <v>23</v>
      </c>
      <c r="C130" s="1">
        <v>2381</v>
      </c>
      <c r="D130" s="1">
        <v>31</v>
      </c>
      <c r="E130" s="1">
        <v>13</v>
      </c>
      <c r="F130" s="1">
        <v>252</v>
      </c>
      <c r="G130" s="24">
        <v>2201.4699999999998</v>
      </c>
      <c r="H130" s="1" t="s">
        <v>14</v>
      </c>
      <c r="I130" s="1" t="s">
        <v>3</v>
      </c>
      <c r="J130" s="1" t="s">
        <v>18</v>
      </c>
      <c r="K130" s="1" t="s">
        <v>21</v>
      </c>
      <c r="L130" s="1" t="s">
        <v>209</v>
      </c>
    </row>
    <row r="131" spans="1:12" x14ac:dyDescent="0.25">
      <c r="A131" s="1" t="s">
        <v>279</v>
      </c>
      <c r="B131" s="1" t="s">
        <v>23</v>
      </c>
      <c r="C131" s="1">
        <v>3944</v>
      </c>
      <c r="D131" s="1">
        <v>37</v>
      </c>
      <c r="E131" s="1">
        <v>28</v>
      </c>
      <c r="F131" s="1">
        <v>386</v>
      </c>
      <c r="G131" s="24">
        <v>318.89999999999998</v>
      </c>
      <c r="H131" s="1" t="s">
        <v>4</v>
      </c>
      <c r="I131" s="1" t="s">
        <v>13</v>
      </c>
      <c r="J131" s="1" t="s">
        <v>18</v>
      </c>
      <c r="K131" s="1" t="s">
        <v>15</v>
      </c>
      <c r="L131" s="1" t="s">
        <v>209</v>
      </c>
    </row>
    <row r="132" spans="1:12" x14ac:dyDescent="0.25">
      <c r="A132" s="8">
        <v>45788</v>
      </c>
      <c r="B132" s="1" t="s">
        <v>23</v>
      </c>
      <c r="C132" s="1">
        <v>3279</v>
      </c>
      <c r="D132" s="1">
        <v>31</v>
      </c>
      <c r="E132" s="1">
        <v>47</v>
      </c>
      <c r="F132" s="1">
        <v>447</v>
      </c>
      <c r="G132" s="24">
        <v>1567.17</v>
      </c>
      <c r="H132" s="1" t="s">
        <v>4</v>
      </c>
      <c r="I132" s="1" t="s">
        <v>13</v>
      </c>
      <c r="J132" s="1" t="s">
        <v>8</v>
      </c>
      <c r="K132" s="1" t="s">
        <v>10</v>
      </c>
      <c r="L132" s="1" t="s">
        <v>209</v>
      </c>
    </row>
    <row r="133" spans="1:12" x14ac:dyDescent="0.25">
      <c r="A133" s="1" t="s">
        <v>278</v>
      </c>
      <c r="B133" s="1" t="s">
        <v>23</v>
      </c>
      <c r="C133" s="1">
        <v>3724</v>
      </c>
      <c r="D133" s="1">
        <v>39</v>
      </c>
      <c r="E133" s="1">
        <v>24</v>
      </c>
      <c r="F133" s="1">
        <v>67</v>
      </c>
      <c r="G133" s="24">
        <v>1914.89</v>
      </c>
      <c r="H133" s="1" t="s">
        <v>4</v>
      </c>
      <c r="I133" s="1" t="s">
        <v>13</v>
      </c>
      <c r="J133" s="1" t="s">
        <v>8</v>
      </c>
      <c r="K133" s="1" t="s">
        <v>17</v>
      </c>
      <c r="L133" s="1" t="s">
        <v>209</v>
      </c>
    </row>
    <row r="134" spans="1:12" x14ac:dyDescent="0.25">
      <c r="A134" s="1" t="s">
        <v>277</v>
      </c>
      <c r="B134" s="1" t="s">
        <v>23</v>
      </c>
      <c r="C134" s="1">
        <v>4606</v>
      </c>
      <c r="D134" s="1">
        <v>21</v>
      </c>
      <c r="E134" s="1">
        <v>42</v>
      </c>
      <c r="F134" s="1">
        <v>386</v>
      </c>
      <c r="G134" s="24">
        <v>2492.41</v>
      </c>
      <c r="H134" s="1" t="s">
        <v>12</v>
      </c>
      <c r="I134" s="1" t="s">
        <v>13</v>
      </c>
      <c r="J134" s="1" t="s">
        <v>2</v>
      </c>
      <c r="K134" s="1" t="s">
        <v>15</v>
      </c>
      <c r="L134" s="1" t="s">
        <v>209</v>
      </c>
    </row>
    <row r="135" spans="1:12" x14ac:dyDescent="0.25">
      <c r="A135" s="1" t="s">
        <v>276</v>
      </c>
      <c r="B135" s="1" t="s">
        <v>23</v>
      </c>
      <c r="C135" s="1">
        <v>2996</v>
      </c>
      <c r="D135" s="1">
        <v>11</v>
      </c>
      <c r="E135" s="1">
        <v>20</v>
      </c>
      <c r="F135" s="1">
        <v>304</v>
      </c>
      <c r="G135" s="24">
        <v>463.51</v>
      </c>
      <c r="H135" s="1" t="s">
        <v>4</v>
      </c>
      <c r="I135" s="1" t="s">
        <v>13</v>
      </c>
      <c r="J135" s="1" t="s">
        <v>11</v>
      </c>
      <c r="K135" s="1" t="s">
        <v>10</v>
      </c>
      <c r="L135" s="1" t="s">
        <v>209</v>
      </c>
    </row>
    <row r="136" spans="1:12" x14ac:dyDescent="0.25">
      <c r="A136" s="1" t="s">
        <v>275</v>
      </c>
      <c r="B136" s="1" t="s">
        <v>23</v>
      </c>
      <c r="C136" s="1">
        <v>4581</v>
      </c>
      <c r="D136" s="1">
        <v>28</v>
      </c>
      <c r="E136" s="1">
        <v>35</v>
      </c>
      <c r="F136" s="1">
        <v>374</v>
      </c>
      <c r="G136" s="24">
        <v>942.86</v>
      </c>
      <c r="H136" s="1" t="s">
        <v>14</v>
      </c>
      <c r="I136" s="1" t="s">
        <v>13</v>
      </c>
      <c r="J136" s="1" t="s">
        <v>18</v>
      </c>
      <c r="K136" s="1" t="s">
        <v>10</v>
      </c>
      <c r="L136" s="1" t="s">
        <v>209</v>
      </c>
    </row>
    <row r="137" spans="1:12" x14ac:dyDescent="0.25">
      <c r="A137" s="1" t="s">
        <v>274</v>
      </c>
      <c r="B137" s="1" t="s">
        <v>23</v>
      </c>
      <c r="C137" s="1">
        <v>4560</v>
      </c>
      <c r="D137" s="1">
        <v>14</v>
      </c>
      <c r="E137" s="1">
        <v>44</v>
      </c>
      <c r="F137" s="1">
        <v>60</v>
      </c>
      <c r="G137" s="24">
        <v>2274.64</v>
      </c>
      <c r="H137" s="1" t="s">
        <v>4</v>
      </c>
      <c r="I137" s="1" t="s">
        <v>13</v>
      </c>
      <c r="J137" s="1" t="s">
        <v>18</v>
      </c>
      <c r="K137" s="1" t="s">
        <v>15</v>
      </c>
      <c r="L137" s="1" t="s">
        <v>209</v>
      </c>
    </row>
    <row r="138" spans="1:12" x14ac:dyDescent="0.25">
      <c r="A138" s="1" t="s">
        <v>273</v>
      </c>
      <c r="B138" s="1" t="s">
        <v>23</v>
      </c>
      <c r="C138" s="1">
        <v>4845</v>
      </c>
      <c r="D138" s="1">
        <v>18</v>
      </c>
      <c r="E138" s="1">
        <v>27</v>
      </c>
      <c r="F138" s="1">
        <v>394</v>
      </c>
      <c r="G138" s="24">
        <v>1194.1199999999999</v>
      </c>
      <c r="H138" s="1" t="s">
        <v>12</v>
      </c>
      <c r="I138" s="1" t="s">
        <v>13</v>
      </c>
      <c r="J138" s="1" t="s">
        <v>11</v>
      </c>
      <c r="K138" s="1" t="s">
        <v>10</v>
      </c>
      <c r="L138" s="1" t="s">
        <v>209</v>
      </c>
    </row>
    <row r="139" spans="1:12" x14ac:dyDescent="0.25">
      <c r="A139" s="1" t="s">
        <v>272</v>
      </c>
      <c r="B139" s="1" t="s">
        <v>23</v>
      </c>
      <c r="C139" s="1">
        <v>3953</v>
      </c>
      <c r="D139" s="1">
        <v>9</v>
      </c>
      <c r="E139" s="1">
        <v>9</v>
      </c>
      <c r="F139" s="1">
        <v>174</v>
      </c>
      <c r="G139" s="24">
        <v>1627.89</v>
      </c>
      <c r="H139" s="1" t="s">
        <v>4</v>
      </c>
      <c r="I139" s="1" t="s">
        <v>13</v>
      </c>
      <c r="J139" s="1" t="s">
        <v>18</v>
      </c>
      <c r="K139" s="1" t="s">
        <v>1</v>
      </c>
      <c r="L139" s="1" t="s">
        <v>209</v>
      </c>
    </row>
    <row r="140" spans="1:12" x14ac:dyDescent="0.25">
      <c r="A140" s="1" t="s">
        <v>271</v>
      </c>
      <c r="B140" s="1" t="s">
        <v>23</v>
      </c>
      <c r="C140" s="1">
        <v>3275</v>
      </c>
      <c r="D140" s="1">
        <v>43</v>
      </c>
      <c r="E140" s="1">
        <v>24</v>
      </c>
      <c r="F140" s="1">
        <v>418</v>
      </c>
      <c r="G140" s="24">
        <v>1362.01</v>
      </c>
      <c r="H140" s="1" t="s">
        <v>4</v>
      </c>
      <c r="I140" s="1" t="s">
        <v>13</v>
      </c>
      <c r="J140" s="1" t="s">
        <v>2</v>
      </c>
      <c r="K140" s="1" t="s">
        <v>1</v>
      </c>
      <c r="L140" s="1" t="s">
        <v>209</v>
      </c>
    </row>
    <row r="141" spans="1:12" x14ac:dyDescent="0.25">
      <c r="A141" s="1" t="s">
        <v>270</v>
      </c>
      <c r="B141" s="1" t="s">
        <v>23</v>
      </c>
      <c r="C141" s="1">
        <v>4208</v>
      </c>
      <c r="D141" s="1">
        <v>45</v>
      </c>
      <c r="E141" s="1">
        <v>3</v>
      </c>
      <c r="F141" s="1">
        <v>322</v>
      </c>
      <c r="G141" s="24">
        <v>1641.01</v>
      </c>
      <c r="H141" s="1" t="s">
        <v>19</v>
      </c>
      <c r="I141" s="1" t="s">
        <v>13</v>
      </c>
      <c r="J141" s="1" t="s">
        <v>18</v>
      </c>
      <c r="K141" s="1" t="s">
        <v>10</v>
      </c>
      <c r="L141" s="1" t="s">
        <v>209</v>
      </c>
    </row>
    <row r="142" spans="1:12" x14ac:dyDescent="0.25">
      <c r="A142" s="1" t="s">
        <v>269</v>
      </c>
      <c r="B142" s="1" t="s">
        <v>23</v>
      </c>
      <c r="C142" s="1">
        <v>626</v>
      </c>
      <c r="D142" s="1">
        <v>17</v>
      </c>
      <c r="E142" s="1">
        <v>30</v>
      </c>
      <c r="F142" s="1">
        <v>128</v>
      </c>
      <c r="G142" s="24">
        <v>1675.25</v>
      </c>
      <c r="H142" s="1" t="s">
        <v>12</v>
      </c>
      <c r="I142" s="1" t="s">
        <v>13</v>
      </c>
      <c r="J142" s="1" t="s">
        <v>11</v>
      </c>
      <c r="K142" s="1" t="s">
        <v>21</v>
      </c>
      <c r="L142" s="1" t="s">
        <v>209</v>
      </c>
    </row>
    <row r="143" spans="1:12" x14ac:dyDescent="0.25">
      <c r="A143" s="1" t="s">
        <v>268</v>
      </c>
      <c r="B143" s="1" t="s">
        <v>23</v>
      </c>
      <c r="C143" s="1">
        <v>3188</v>
      </c>
      <c r="D143" s="1">
        <v>24</v>
      </c>
      <c r="E143" s="1">
        <v>-1</v>
      </c>
      <c r="F143" s="1">
        <v>36</v>
      </c>
      <c r="G143" s="24">
        <v>956.18</v>
      </c>
      <c r="H143" s="1" t="s">
        <v>29</v>
      </c>
      <c r="I143" s="1" t="s">
        <v>13</v>
      </c>
      <c r="J143" s="1" t="s">
        <v>18</v>
      </c>
      <c r="K143" s="1" t="s">
        <v>15</v>
      </c>
      <c r="L143" s="1" t="s">
        <v>209</v>
      </c>
    </row>
    <row r="144" spans="1:12" x14ac:dyDescent="0.25">
      <c r="A144" s="1" t="s">
        <v>267</v>
      </c>
      <c r="B144" s="1" t="s">
        <v>23</v>
      </c>
      <c r="C144" s="1">
        <v>1925</v>
      </c>
      <c r="D144" s="1">
        <v>15</v>
      </c>
      <c r="E144" s="1">
        <v>27</v>
      </c>
      <c r="F144" s="1">
        <v>360</v>
      </c>
      <c r="G144" s="24">
        <v>1816.33</v>
      </c>
      <c r="H144" s="1" t="s">
        <v>12</v>
      </c>
      <c r="I144" s="1" t="s">
        <v>13</v>
      </c>
      <c r="J144" s="1" t="s">
        <v>11</v>
      </c>
      <c r="K144" s="1" t="s">
        <v>17</v>
      </c>
      <c r="L144" s="1" t="s">
        <v>209</v>
      </c>
    </row>
    <row r="145" spans="1:12" x14ac:dyDescent="0.25">
      <c r="A145" s="1" t="s">
        <v>266</v>
      </c>
      <c r="B145" s="1" t="s">
        <v>23</v>
      </c>
      <c r="C145" s="1">
        <v>1032</v>
      </c>
      <c r="D145" s="1">
        <v>45</v>
      </c>
      <c r="E145" s="1">
        <v>36</v>
      </c>
      <c r="F145" s="1">
        <v>329</v>
      </c>
      <c r="G145" s="24">
        <v>2341.36</v>
      </c>
      <c r="H145" s="1" t="s">
        <v>4</v>
      </c>
      <c r="I145" s="1" t="s">
        <v>13</v>
      </c>
      <c r="J145" s="1" t="s">
        <v>18</v>
      </c>
      <c r="K145" s="1" t="s">
        <v>10</v>
      </c>
      <c r="L145" s="1" t="s">
        <v>209</v>
      </c>
    </row>
    <row r="146" spans="1:12" x14ac:dyDescent="0.25">
      <c r="A146" s="1" t="s">
        <v>265</v>
      </c>
      <c r="B146" s="1" t="s">
        <v>23</v>
      </c>
      <c r="C146" s="1">
        <v>1005</v>
      </c>
      <c r="D146" s="1">
        <v>12</v>
      </c>
      <c r="E146" s="1">
        <v>34</v>
      </c>
      <c r="F146" s="1">
        <v>307</v>
      </c>
      <c r="G146" s="24">
        <v>1847.61</v>
      </c>
      <c r="H146" s="1" t="s">
        <v>4</v>
      </c>
      <c r="I146" s="1" t="s">
        <v>3</v>
      </c>
      <c r="J146" s="1" t="s">
        <v>18</v>
      </c>
      <c r="K146" s="1" t="s">
        <v>10</v>
      </c>
      <c r="L146" s="1" t="s">
        <v>209</v>
      </c>
    </row>
    <row r="147" spans="1:12" x14ac:dyDescent="0.25">
      <c r="A147" s="1" t="s">
        <v>264</v>
      </c>
      <c r="B147" s="1" t="s">
        <v>23</v>
      </c>
      <c r="C147" s="1">
        <v>4927</v>
      </c>
      <c r="D147" s="1">
        <v>6</v>
      </c>
      <c r="E147" s="1">
        <v>2</v>
      </c>
      <c r="F147" s="1">
        <v>136</v>
      </c>
      <c r="G147" s="24">
        <v>92.14</v>
      </c>
      <c r="H147" s="1" t="s">
        <v>14</v>
      </c>
      <c r="I147" s="1" t="s">
        <v>3</v>
      </c>
      <c r="J147" s="1" t="s">
        <v>18</v>
      </c>
      <c r="K147" s="1" t="s">
        <v>1</v>
      </c>
      <c r="L147" s="1" t="s">
        <v>209</v>
      </c>
    </row>
    <row r="148" spans="1:12" x14ac:dyDescent="0.25">
      <c r="A148" s="1" t="s">
        <v>263</v>
      </c>
      <c r="B148" s="1" t="s">
        <v>23</v>
      </c>
      <c r="C148" s="1">
        <v>1460</v>
      </c>
      <c r="D148" s="1">
        <v>44</v>
      </c>
      <c r="E148" s="1">
        <v>47</v>
      </c>
      <c r="F148" s="1">
        <v>253</v>
      </c>
      <c r="G148" s="24">
        <v>2397.16</v>
      </c>
      <c r="H148" s="1" t="s">
        <v>12</v>
      </c>
      <c r="I148" s="1" t="s">
        <v>13</v>
      </c>
      <c r="J148" s="1" t="s">
        <v>8</v>
      </c>
      <c r="K148" s="1" t="s">
        <v>10</v>
      </c>
      <c r="L148" s="1" t="s">
        <v>209</v>
      </c>
    </row>
    <row r="149" spans="1:12" x14ac:dyDescent="0.25">
      <c r="A149" s="1" t="s">
        <v>262</v>
      </c>
      <c r="B149" s="1" t="s">
        <v>23</v>
      </c>
      <c r="C149" s="1">
        <v>4959</v>
      </c>
      <c r="D149" s="1">
        <v>35</v>
      </c>
      <c r="E149" s="1">
        <v>6</v>
      </c>
      <c r="F149" s="1">
        <v>407</v>
      </c>
      <c r="G149" s="24">
        <v>1483.29</v>
      </c>
      <c r="H149" s="1" t="s">
        <v>19</v>
      </c>
      <c r="I149" s="1" t="s">
        <v>3</v>
      </c>
      <c r="J149" s="1" t="s">
        <v>18</v>
      </c>
      <c r="K149" s="1" t="s">
        <v>1</v>
      </c>
      <c r="L149" s="1" t="s">
        <v>209</v>
      </c>
    </row>
    <row r="150" spans="1:12" x14ac:dyDescent="0.25">
      <c r="A150" s="1" t="s">
        <v>261</v>
      </c>
      <c r="B150" s="1" t="s">
        <v>23</v>
      </c>
      <c r="C150" s="1">
        <v>3935</v>
      </c>
      <c r="D150" s="1">
        <v>7</v>
      </c>
      <c r="E150" s="1">
        <v>6</v>
      </c>
      <c r="F150" s="1">
        <v>273</v>
      </c>
      <c r="G150" s="24">
        <v>1799.14</v>
      </c>
      <c r="H150" s="1" t="s">
        <v>14</v>
      </c>
      <c r="I150" s="1" t="s">
        <v>13</v>
      </c>
      <c r="J150" s="1" t="s">
        <v>2</v>
      </c>
      <c r="K150" s="1" t="s">
        <v>10</v>
      </c>
      <c r="L150" s="1" t="s">
        <v>209</v>
      </c>
    </row>
    <row r="151" spans="1:12" x14ac:dyDescent="0.25">
      <c r="A151" s="1" t="s">
        <v>260</v>
      </c>
      <c r="B151" s="1" t="s">
        <v>23</v>
      </c>
      <c r="C151" s="1">
        <v>4272</v>
      </c>
      <c r="D151" s="1">
        <v>45</v>
      </c>
      <c r="E151" s="1">
        <v>16</v>
      </c>
      <c r="F151" s="1">
        <v>366</v>
      </c>
      <c r="G151" s="24">
        <v>247.44</v>
      </c>
      <c r="H151" s="1" t="s">
        <v>12</v>
      </c>
      <c r="I151" s="1" t="s">
        <v>13</v>
      </c>
      <c r="J151" s="1" t="s">
        <v>18</v>
      </c>
      <c r="K151" s="1" t="s">
        <v>21</v>
      </c>
      <c r="L151" s="1" t="s">
        <v>209</v>
      </c>
    </row>
    <row r="152" spans="1:12" x14ac:dyDescent="0.25">
      <c r="A152" s="1" t="s">
        <v>259</v>
      </c>
      <c r="B152" s="1" t="s">
        <v>23</v>
      </c>
      <c r="C152" s="1">
        <v>3748</v>
      </c>
      <c r="D152" s="1">
        <v>42</v>
      </c>
      <c r="E152" s="1">
        <v>22</v>
      </c>
      <c r="F152" s="1">
        <v>114</v>
      </c>
      <c r="G152" s="24">
        <v>2456.4899999999998</v>
      </c>
      <c r="H152" s="1" t="s">
        <v>4</v>
      </c>
      <c r="I152" s="1" t="s">
        <v>13</v>
      </c>
      <c r="J152" s="1" t="s">
        <v>8</v>
      </c>
      <c r="K152" s="1" t="s">
        <v>7</v>
      </c>
      <c r="L152" s="1" t="s">
        <v>209</v>
      </c>
    </row>
    <row r="153" spans="1:12" x14ac:dyDescent="0.25">
      <c r="A153" s="1" t="s">
        <v>258</v>
      </c>
      <c r="B153" s="1" t="s">
        <v>22</v>
      </c>
      <c r="C153" s="1">
        <v>3637</v>
      </c>
      <c r="D153" s="1">
        <v>10</v>
      </c>
      <c r="E153" s="1">
        <v>28</v>
      </c>
      <c r="F153" s="1">
        <v>360</v>
      </c>
      <c r="G153" s="24">
        <v>1213.3800000000001</v>
      </c>
      <c r="H153" s="1" t="s">
        <v>12</v>
      </c>
      <c r="I153" s="1" t="s">
        <v>13</v>
      </c>
      <c r="J153" s="1" t="s">
        <v>18</v>
      </c>
      <c r="K153" s="1" t="s">
        <v>7</v>
      </c>
      <c r="L153" s="1" t="s">
        <v>209</v>
      </c>
    </row>
    <row r="154" spans="1:12" x14ac:dyDescent="0.25">
      <c r="A154" s="1" t="s">
        <v>257</v>
      </c>
      <c r="B154" s="1" t="s">
        <v>22</v>
      </c>
      <c r="C154" s="1">
        <v>1850</v>
      </c>
      <c r="D154" s="1">
        <v>41</v>
      </c>
      <c r="E154" s="1">
        <v>15</v>
      </c>
      <c r="F154" s="1">
        <v>204</v>
      </c>
      <c r="G154" s="24">
        <v>1347.46</v>
      </c>
      <c r="H154" s="1" t="s">
        <v>12</v>
      </c>
      <c r="I154" s="1" t="s">
        <v>3</v>
      </c>
      <c r="J154" s="1" t="s">
        <v>8</v>
      </c>
      <c r="K154" s="1" t="s">
        <v>10</v>
      </c>
      <c r="L154" s="1" t="s">
        <v>209</v>
      </c>
    </row>
    <row r="155" spans="1:12" x14ac:dyDescent="0.25">
      <c r="A155" s="1" t="s">
        <v>256</v>
      </c>
      <c r="B155" s="1" t="s">
        <v>22</v>
      </c>
      <c r="C155" s="1">
        <v>3728</v>
      </c>
      <c r="D155" s="1">
        <v>29</v>
      </c>
      <c r="E155" s="1">
        <v>39</v>
      </c>
      <c r="F155" s="1">
        <v>376</v>
      </c>
      <c r="G155" s="24">
        <v>366.93</v>
      </c>
      <c r="H155" s="1" t="s">
        <v>12</v>
      </c>
      <c r="I155" s="1" t="s">
        <v>13</v>
      </c>
      <c r="J155" s="1" t="s">
        <v>18</v>
      </c>
      <c r="K155" s="1" t="s">
        <v>10</v>
      </c>
      <c r="L155" s="1" t="s">
        <v>209</v>
      </c>
    </row>
    <row r="156" spans="1:12" x14ac:dyDescent="0.25">
      <c r="A156" s="1" t="s">
        <v>255</v>
      </c>
      <c r="B156" s="1" t="s">
        <v>22</v>
      </c>
      <c r="C156" s="1">
        <v>2662</v>
      </c>
      <c r="D156" s="1">
        <v>6</v>
      </c>
      <c r="E156" s="1">
        <v>32</v>
      </c>
      <c r="F156" s="1">
        <v>425</v>
      </c>
      <c r="G156" s="24">
        <v>1534.01</v>
      </c>
      <c r="H156" s="1" t="s">
        <v>14</v>
      </c>
      <c r="I156" s="1" t="s">
        <v>13</v>
      </c>
      <c r="J156" s="1" t="s">
        <v>18</v>
      </c>
      <c r="K156" s="1" t="s">
        <v>17</v>
      </c>
      <c r="L156" s="1" t="s">
        <v>209</v>
      </c>
    </row>
    <row r="157" spans="1:12" x14ac:dyDescent="0.25">
      <c r="A157" s="1" t="s">
        <v>254</v>
      </c>
      <c r="B157" s="1" t="s">
        <v>22</v>
      </c>
      <c r="C157" s="1">
        <v>3455</v>
      </c>
      <c r="D157" s="1">
        <v>5</v>
      </c>
      <c r="E157" s="1">
        <v>21</v>
      </c>
      <c r="F157" s="1">
        <v>388</v>
      </c>
      <c r="G157" s="24">
        <v>2086.17</v>
      </c>
      <c r="H157" s="1" t="s">
        <v>19</v>
      </c>
      <c r="I157" s="1" t="s">
        <v>3</v>
      </c>
      <c r="J157" s="1" t="s">
        <v>18</v>
      </c>
      <c r="K157" s="1" t="s">
        <v>17</v>
      </c>
      <c r="L157" s="1" t="s">
        <v>209</v>
      </c>
    </row>
    <row r="158" spans="1:12" x14ac:dyDescent="0.25">
      <c r="A158" s="1" t="s">
        <v>253</v>
      </c>
      <c r="B158" s="1" t="s">
        <v>22</v>
      </c>
      <c r="C158" s="1">
        <v>3100</v>
      </c>
      <c r="D158" s="1">
        <v>18</v>
      </c>
      <c r="E158" s="1">
        <v>44</v>
      </c>
      <c r="F158" s="1">
        <v>197</v>
      </c>
      <c r="G158" s="24">
        <v>1862.94</v>
      </c>
      <c r="H158" s="1" t="s">
        <v>14</v>
      </c>
      <c r="I158" s="1" t="s">
        <v>13</v>
      </c>
      <c r="J158" s="1" t="s">
        <v>18</v>
      </c>
      <c r="K158" s="1" t="s">
        <v>7</v>
      </c>
      <c r="L158" s="1" t="s">
        <v>209</v>
      </c>
    </row>
    <row r="159" spans="1:12" x14ac:dyDescent="0.25">
      <c r="A159" s="1" t="s">
        <v>252</v>
      </c>
      <c r="B159" s="1" t="s">
        <v>22</v>
      </c>
      <c r="C159" s="1">
        <v>1047</v>
      </c>
      <c r="D159" s="1">
        <v>24</v>
      </c>
      <c r="E159" s="1">
        <v>21</v>
      </c>
      <c r="F159" s="1">
        <v>80</v>
      </c>
      <c r="G159" s="24">
        <v>1017.43</v>
      </c>
      <c r="H159" s="1" t="s">
        <v>4</v>
      </c>
      <c r="I159" s="1" t="s">
        <v>3</v>
      </c>
      <c r="J159" s="1" t="s">
        <v>18</v>
      </c>
      <c r="K159" s="1" t="s">
        <v>1</v>
      </c>
      <c r="L159" s="1" t="s">
        <v>209</v>
      </c>
    </row>
    <row r="160" spans="1:12" x14ac:dyDescent="0.25">
      <c r="A160" s="1" t="s">
        <v>251</v>
      </c>
      <c r="B160" s="1" t="s">
        <v>22</v>
      </c>
      <c r="C160" s="1">
        <v>2973</v>
      </c>
      <c r="D160" s="1">
        <v>34</v>
      </c>
      <c r="E160" s="1">
        <v>46</v>
      </c>
      <c r="F160" s="1">
        <v>319</v>
      </c>
      <c r="G160" s="24">
        <v>1963.97</v>
      </c>
      <c r="H160" s="1" t="s">
        <v>19</v>
      </c>
      <c r="I160" s="1" t="s">
        <v>3</v>
      </c>
      <c r="J160" s="1" t="s">
        <v>18</v>
      </c>
      <c r="K160" s="1" t="s">
        <v>21</v>
      </c>
      <c r="L160" s="1" t="s">
        <v>209</v>
      </c>
    </row>
    <row r="161" spans="1:12" x14ac:dyDescent="0.25">
      <c r="A161" s="1" t="s">
        <v>250</v>
      </c>
      <c r="B161" s="1" t="s">
        <v>22</v>
      </c>
      <c r="C161" s="1">
        <v>2597</v>
      </c>
      <c r="D161" s="1">
        <v>12</v>
      </c>
      <c r="E161" s="1">
        <v>47</v>
      </c>
      <c r="F161" s="1">
        <v>274</v>
      </c>
      <c r="G161" s="24">
        <v>718.31</v>
      </c>
      <c r="H161" s="1" t="s">
        <v>14</v>
      </c>
      <c r="I161" s="1" t="s">
        <v>3</v>
      </c>
      <c r="J161" s="1" t="s">
        <v>11</v>
      </c>
      <c r="K161" s="1" t="s">
        <v>1</v>
      </c>
      <c r="L161" s="1" t="s">
        <v>209</v>
      </c>
    </row>
    <row r="162" spans="1:12" x14ac:dyDescent="0.25">
      <c r="A162" s="1" t="s">
        <v>249</v>
      </c>
      <c r="B162" s="1" t="s">
        <v>22</v>
      </c>
      <c r="C162" s="1">
        <v>4565</v>
      </c>
      <c r="D162" s="1">
        <v>12</v>
      </c>
      <c r="E162" s="1">
        <v>47</v>
      </c>
      <c r="F162" s="1">
        <v>188</v>
      </c>
      <c r="G162" s="24">
        <v>1535.92</v>
      </c>
      <c r="H162" s="1" t="s">
        <v>19</v>
      </c>
      <c r="I162" s="1" t="s">
        <v>13</v>
      </c>
      <c r="J162" s="1" t="s">
        <v>11</v>
      </c>
      <c r="K162" s="1" t="s">
        <v>7</v>
      </c>
      <c r="L162" s="1" t="s">
        <v>209</v>
      </c>
    </row>
    <row r="163" spans="1:12" x14ac:dyDescent="0.25">
      <c r="A163" s="1" t="s">
        <v>248</v>
      </c>
      <c r="B163" s="1" t="s">
        <v>22</v>
      </c>
      <c r="C163" s="1">
        <v>1903</v>
      </c>
      <c r="D163" s="1">
        <v>4</v>
      </c>
      <c r="E163" s="1">
        <v>30</v>
      </c>
      <c r="F163" s="1">
        <v>249</v>
      </c>
      <c r="G163" s="24">
        <v>25.75</v>
      </c>
      <c r="H163" s="1" t="s">
        <v>14</v>
      </c>
      <c r="I163" s="1" t="s">
        <v>13</v>
      </c>
      <c r="J163" s="1" t="s">
        <v>11</v>
      </c>
      <c r="K163" s="1" t="s">
        <v>10</v>
      </c>
      <c r="L163" s="1" t="s">
        <v>209</v>
      </c>
    </row>
    <row r="164" spans="1:12" x14ac:dyDescent="0.25">
      <c r="A164" s="1" t="s">
        <v>247</v>
      </c>
      <c r="B164" s="1" t="s">
        <v>22</v>
      </c>
      <c r="C164" s="1">
        <v>3668</v>
      </c>
      <c r="D164" s="1">
        <v>36</v>
      </c>
      <c r="E164" s="1">
        <v>20</v>
      </c>
      <c r="F164" s="1">
        <v>397</v>
      </c>
      <c r="G164" s="24">
        <v>506.28</v>
      </c>
      <c r="H164" s="1" t="s">
        <v>4</v>
      </c>
      <c r="I164" s="1" t="s">
        <v>13</v>
      </c>
      <c r="J164" s="1" t="s">
        <v>18</v>
      </c>
      <c r="K164" s="1" t="s">
        <v>10</v>
      </c>
      <c r="L164" s="1" t="s">
        <v>209</v>
      </c>
    </row>
    <row r="165" spans="1:12" x14ac:dyDescent="0.25">
      <c r="A165" s="1" t="s">
        <v>246</v>
      </c>
      <c r="B165" s="1" t="s">
        <v>22</v>
      </c>
      <c r="C165" s="1">
        <v>4851</v>
      </c>
      <c r="D165" s="1">
        <v>23</v>
      </c>
      <c r="E165" s="1">
        <v>16</v>
      </c>
      <c r="F165" s="1">
        <v>73</v>
      </c>
      <c r="G165" s="24">
        <v>2026.1</v>
      </c>
      <c r="H165" s="1" t="s">
        <v>12</v>
      </c>
      <c r="I165" s="1" t="s">
        <v>13</v>
      </c>
      <c r="J165" s="1" t="s">
        <v>18</v>
      </c>
      <c r="K165" s="1" t="s">
        <v>7</v>
      </c>
      <c r="L165" s="1" t="s">
        <v>209</v>
      </c>
    </row>
    <row r="166" spans="1:12" x14ac:dyDescent="0.25">
      <c r="A166" s="1" t="s">
        <v>245</v>
      </c>
      <c r="B166" s="1" t="s">
        <v>22</v>
      </c>
      <c r="C166" s="1">
        <v>3835</v>
      </c>
      <c r="D166" s="1">
        <v>22</v>
      </c>
      <c r="E166" s="1">
        <v>5</v>
      </c>
      <c r="F166" s="1">
        <v>114</v>
      </c>
      <c r="G166" s="24">
        <v>652.19000000000005</v>
      </c>
      <c r="H166" s="1" t="s">
        <v>25</v>
      </c>
      <c r="I166" s="1" t="s">
        <v>3</v>
      </c>
      <c r="J166" s="1" t="s">
        <v>18</v>
      </c>
      <c r="K166" s="1" t="s">
        <v>1</v>
      </c>
      <c r="L166" s="1" t="s">
        <v>209</v>
      </c>
    </row>
    <row r="167" spans="1:12" x14ac:dyDescent="0.25">
      <c r="A167" s="1" t="s">
        <v>244</v>
      </c>
      <c r="B167" s="1" t="s">
        <v>22</v>
      </c>
      <c r="C167" s="1">
        <v>4196</v>
      </c>
      <c r="D167" s="1">
        <v>10</v>
      </c>
      <c r="E167" s="1">
        <v>-4</v>
      </c>
      <c r="F167" s="1">
        <v>40</v>
      </c>
      <c r="G167" s="24">
        <v>2322.5300000000002</v>
      </c>
      <c r="H167" s="1" t="s">
        <v>12</v>
      </c>
      <c r="I167" s="1" t="s">
        <v>13</v>
      </c>
      <c r="J167" s="1" t="s">
        <v>18</v>
      </c>
      <c r="K167" s="1" t="s">
        <v>1</v>
      </c>
      <c r="L167" s="1" t="s">
        <v>209</v>
      </c>
    </row>
    <row r="168" spans="1:12" x14ac:dyDescent="0.25">
      <c r="A168" s="1" t="s">
        <v>243</v>
      </c>
      <c r="B168" s="1" t="s">
        <v>22</v>
      </c>
      <c r="C168" s="1">
        <v>3028</v>
      </c>
      <c r="D168" s="1">
        <v>34</v>
      </c>
      <c r="E168" s="1">
        <v>18</v>
      </c>
      <c r="F168" s="1">
        <v>226</v>
      </c>
      <c r="G168" s="24">
        <v>950.89</v>
      </c>
      <c r="H168" s="1" t="s">
        <v>12</v>
      </c>
      <c r="I168" s="1" t="s">
        <v>3</v>
      </c>
      <c r="J168" s="1" t="s">
        <v>8</v>
      </c>
      <c r="K168" s="1" t="s">
        <v>21</v>
      </c>
      <c r="L168" s="1" t="s">
        <v>209</v>
      </c>
    </row>
    <row r="169" spans="1:12" x14ac:dyDescent="0.25">
      <c r="A169" s="1" t="s">
        <v>242</v>
      </c>
      <c r="B169" s="1" t="s">
        <v>22</v>
      </c>
      <c r="C169" s="1">
        <v>4081</v>
      </c>
      <c r="D169" s="1">
        <v>41</v>
      </c>
      <c r="E169" s="1">
        <v>39</v>
      </c>
      <c r="F169" s="1">
        <v>384</v>
      </c>
      <c r="G169" s="24">
        <v>1255.05</v>
      </c>
      <c r="H169" s="1" t="s">
        <v>12</v>
      </c>
      <c r="I169" s="1" t="s">
        <v>13</v>
      </c>
      <c r="J169" s="1" t="s">
        <v>18</v>
      </c>
      <c r="K169" s="1" t="s">
        <v>7</v>
      </c>
      <c r="L169" s="1" t="s">
        <v>209</v>
      </c>
    </row>
    <row r="170" spans="1:12" x14ac:dyDescent="0.25">
      <c r="A170" s="1" t="s">
        <v>241</v>
      </c>
      <c r="B170" s="1" t="s">
        <v>22</v>
      </c>
      <c r="C170" s="1">
        <v>4867</v>
      </c>
      <c r="D170" s="1">
        <v>13</v>
      </c>
      <c r="E170" s="1">
        <v>42</v>
      </c>
      <c r="F170" s="1">
        <v>103</v>
      </c>
      <c r="G170" s="24">
        <v>425.71</v>
      </c>
      <c r="H170" s="1" t="s">
        <v>12</v>
      </c>
      <c r="I170" s="1" t="s">
        <v>3</v>
      </c>
      <c r="J170" s="1" t="s">
        <v>18</v>
      </c>
      <c r="K170" s="1" t="s">
        <v>7</v>
      </c>
      <c r="L170" s="1" t="s">
        <v>209</v>
      </c>
    </row>
    <row r="171" spans="1:12" x14ac:dyDescent="0.25">
      <c r="A171" s="1" t="s">
        <v>240</v>
      </c>
      <c r="B171" s="1" t="s">
        <v>22</v>
      </c>
      <c r="C171" s="1">
        <v>4487</v>
      </c>
      <c r="D171" s="1">
        <v>26</v>
      </c>
      <c r="E171" s="1">
        <v>43</v>
      </c>
      <c r="F171" s="1">
        <v>163</v>
      </c>
      <c r="G171" s="24">
        <v>1572.27</v>
      </c>
      <c r="H171" s="1" t="s">
        <v>19</v>
      </c>
      <c r="I171" s="1" t="s">
        <v>3</v>
      </c>
      <c r="J171" s="1" t="s">
        <v>18</v>
      </c>
      <c r="K171" s="1" t="s">
        <v>10</v>
      </c>
      <c r="L171" s="1" t="s">
        <v>209</v>
      </c>
    </row>
    <row r="172" spans="1:12" x14ac:dyDescent="0.25">
      <c r="A172" s="1" t="s">
        <v>239</v>
      </c>
      <c r="B172" s="1" t="s">
        <v>22</v>
      </c>
      <c r="C172" s="1">
        <v>2611</v>
      </c>
      <c r="D172" s="1">
        <v>35</v>
      </c>
      <c r="E172" s="1">
        <v>-5</v>
      </c>
      <c r="F172" s="1">
        <v>180</v>
      </c>
      <c r="G172" s="24">
        <v>620.41</v>
      </c>
      <c r="H172" s="1" t="s">
        <v>14</v>
      </c>
      <c r="I172" s="1" t="s">
        <v>3</v>
      </c>
      <c r="J172" s="1" t="s">
        <v>18</v>
      </c>
      <c r="K172" s="1" t="s">
        <v>7</v>
      </c>
      <c r="L172" s="1" t="s">
        <v>209</v>
      </c>
    </row>
    <row r="173" spans="1:12" x14ac:dyDescent="0.25">
      <c r="A173" s="1" t="s">
        <v>238</v>
      </c>
      <c r="B173" s="1" t="s">
        <v>22</v>
      </c>
      <c r="C173" s="1">
        <v>1323</v>
      </c>
      <c r="D173" s="1">
        <v>7</v>
      </c>
      <c r="E173" s="1">
        <v>14</v>
      </c>
      <c r="F173" s="1">
        <v>37</v>
      </c>
      <c r="G173" s="24">
        <v>926.39</v>
      </c>
      <c r="H173" s="1" t="s">
        <v>4</v>
      </c>
      <c r="I173" s="1" t="s">
        <v>3</v>
      </c>
      <c r="J173" s="1" t="s">
        <v>8</v>
      </c>
      <c r="K173" s="1" t="s">
        <v>1</v>
      </c>
      <c r="L173" s="1" t="s">
        <v>209</v>
      </c>
    </row>
    <row r="174" spans="1:12" x14ac:dyDescent="0.25">
      <c r="A174" s="1" t="s">
        <v>237</v>
      </c>
      <c r="B174" s="1" t="s">
        <v>22</v>
      </c>
      <c r="C174" s="1">
        <v>4819</v>
      </c>
      <c r="D174" s="1">
        <v>3</v>
      </c>
      <c r="E174" s="1">
        <v>27</v>
      </c>
      <c r="F174" s="1">
        <v>31</v>
      </c>
      <c r="G174" s="24">
        <v>427.36</v>
      </c>
      <c r="H174" s="1" t="s">
        <v>12</v>
      </c>
      <c r="I174" s="1" t="s">
        <v>13</v>
      </c>
      <c r="J174" s="1" t="s">
        <v>18</v>
      </c>
      <c r="K174" s="1" t="s">
        <v>10</v>
      </c>
      <c r="L174" s="1" t="s">
        <v>209</v>
      </c>
    </row>
    <row r="175" spans="1:12" x14ac:dyDescent="0.25">
      <c r="A175" s="1" t="s">
        <v>236</v>
      </c>
      <c r="B175" s="1" t="s">
        <v>22</v>
      </c>
      <c r="C175" s="1">
        <v>3018</v>
      </c>
      <c r="D175" s="1">
        <v>18</v>
      </c>
      <c r="E175" s="1">
        <v>47</v>
      </c>
      <c r="F175" s="1">
        <v>330</v>
      </c>
      <c r="G175" s="24">
        <v>261.89</v>
      </c>
      <c r="H175" s="1" t="s">
        <v>14</v>
      </c>
      <c r="I175" s="1" t="s">
        <v>13</v>
      </c>
      <c r="J175" s="1" t="s">
        <v>11</v>
      </c>
      <c r="K175" s="1" t="s">
        <v>7</v>
      </c>
      <c r="L175" s="1" t="s">
        <v>209</v>
      </c>
    </row>
    <row r="176" spans="1:12" x14ac:dyDescent="0.25">
      <c r="A176" s="1" t="s">
        <v>235</v>
      </c>
      <c r="B176" s="1" t="s">
        <v>22</v>
      </c>
      <c r="C176" s="1">
        <v>2420</v>
      </c>
      <c r="D176" s="1">
        <v>38</v>
      </c>
      <c r="E176" s="1">
        <v>3</v>
      </c>
      <c r="F176" s="1">
        <v>218</v>
      </c>
      <c r="G176" s="24">
        <v>1113.25</v>
      </c>
      <c r="H176" s="1" t="s">
        <v>4</v>
      </c>
      <c r="I176" s="1" t="s">
        <v>13</v>
      </c>
      <c r="J176" s="1" t="s">
        <v>11</v>
      </c>
      <c r="K176" s="1" t="s">
        <v>10</v>
      </c>
      <c r="L176" s="1" t="s">
        <v>209</v>
      </c>
    </row>
    <row r="177" spans="1:12" x14ac:dyDescent="0.25">
      <c r="A177" s="1" t="s">
        <v>234</v>
      </c>
      <c r="B177" s="1" t="s">
        <v>22</v>
      </c>
      <c r="C177" s="1">
        <v>3616</v>
      </c>
      <c r="D177" s="1">
        <v>42</v>
      </c>
      <c r="E177" s="1">
        <v>14</v>
      </c>
      <c r="F177" s="1">
        <v>266</v>
      </c>
      <c r="G177" s="24">
        <v>1651.84</v>
      </c>
      <c r="H177" s="1" t="s">
        <v>14</v>
      </c>
      <c r="I177" s="1" t="s">
        <v>13</v>
      </c>
      <c r="J177" s="1" t="s">
        <v>18</v>
      </c>
      <c r="K177" s="1" t="s">
        <v>15</v>
      </c>
      <c r="L177" s="1" t="s">
        <v>209</v>
      </c>
    </row>
    <row r="178" spans="1:12" x14ac:dyDescent="0.25">
      <c r="A178" s="1" t="s">
        <v>233</v>
      </c>
      <c r="B178" s="1" t="s">
        <v>22</v>
      </c>
      <c r="C178" s="1">
        <v>1072</v>
      </c>
      <c r="D178" s="1">
        <v>40</v>
      </c>
      <c r="E178" s="1">
        <v>46</v>
      </c>
      <c r="F178" s="1">
        <v>49</v>
      </c>
      <c r="G178" s="24">
        <v>1214.1199999999999</v>
      </c>
      <c r="H178" s="1" t="s">
        <v>14</v>
      </c>
      <c r="I178" s="1" t="s">
        <v>3</v>
      </c>
      <c r="J178" s="1" t="s">
        <v>11</v>
      </c>
      <c r="K178" s="1" t="s">
        <v>7</v>
      </c>
      <c r="L178" s="1" t="s">
        <v>209</v>
      </c>
    </row>
    <row r="179" spans="1:12" x14ac:dyDescent="0.25">
      <c r="A179" s="1" t="s">
        <v>232</v>
      </c>
      <c r="B179" s="1" t="s">
        <v>22</v>
      </c>
      <c r="C179" s="1">
        <v>4661</v>
      </c>
      <c r="D179" s="1">
        <v>24</v>
      </c>
      <c r="E179" s="1">
        <v>26</v>
      </c>
      <c r="F179" s="1">
        <v>220</v>
      </c>
      <c r="G179" s="24">
        <v>375.75</v>
      </c>
      <c r="H179" s="1" t="s">
        <v>19</v>
      </c>
      <c r="I179" s="1" t="s">
        <v>3</v>
      </c>
      <c r="J179" s="1" t="s">
        <v>18</v>
      </c>
      <c r="K179" s="1" t="s">
        <v>17</v>
      </c>
      <c r="L179" s="1" t="s">
        <v>209</v>
      </c>
    </row>
    <row r="180" spans="1:12" x14ac:dyDescent="0.25">
      <c r="A180" s="1" t="s">
        <v>231</v>
      </c>
      <c r="B180" s="1" t="s">
        <v>22</v>
      </c>
      <c r="C180" s="1">
        <v>3876</v>
      </c>
      <c r="D180" s="1">
        <v>8</v>
      </c>
      <c r="E180" s="1">
        <v>6</v>
      </c>
      <c r="F180" s="1">
        <v>358</v>
      </c>
      <c r="G180" s="24">
        <v>748.72</v>
      </c>
      <c r="H180" s="1" t="s">
        <v>12</v>
      </c>
      <c r="I180" s="1" t="s">
        <v>13</v>
      </c>
      <c r="J180" s="1" t="s">
        <v>11</v>
      </c>
      <c r="K180" s="1" t="s">
        <v>7</v>
      </c>
      <c r="L180" s="1" t="s">
        <v>209</v>
      </c>
    </row>
    <row r="181" spans="1:12" x14ac:dyDescent="0.25">
      <c r="A181" s="1" t="s">
        <v>230</v>
      </c>
      <c r="B181" s="1" t="s">
        <v>22</v>
      </c>
      <c r="C181" s="1">
        <v>1514</v>
      </c>
      <c r="D181" s="1">
        <v>6</v>
      </c>
      <c r="E181" s="1">
        <v>34</v>
      </c>
      <c r="F181" s="1">
        <v>270</v>
      </c>
      <c r="G181" s="24">
        <v>1987.1</v>
      </c>
      <c r="H181" s="1" t="s">
        <v>14</v>
      </c>
      <c r="I181" s="1" t="s">
        <v>13</v>
      </c>
      <c r="J181" s="1" t="s">
        <v>2</v>
      </c>
      <c r="K181" s="1" t="s">
        <v>15</v>
      </c>
      <c r="L181" s="1" t="s">
        <v>209</v>
      </c>
    </row>
    <row r="182" spans="1:12" x14ac:dyDescent="0.25">
      <c r="A182" s="1" t="s">
        <v>229</v>
      </c>
      <c r="B182" s="1" t="s">
        <v>22</v>
      </c>
      <c r="C182" s="1">
        <v>772</v>
      </c>
      <c r="D182" s="1">
        <v>12</v>
      </c>
      <c r="E182" s="1">
        <v>27</v>
      </c>
      <c r="F182" s="1">
        <v>358</v>
      </c>
      <c r="G182" s="24">
        <v>2016.07</v>
      </c>
      <c r="H182" s="1" t="s">
        <v>4</v>
      </c>
      <c r="I182" s="1" t="s">
        <v>13</v>
      </c>
      <c r="J182" s="1" t="s">
        <v>18</v>
      </c>
      <c r="K182" s="1" t="s">
        <v>1</v>
      </c>
      <c r="L182" s="1" t="s">
        <v>209</v>
      </c>
    </row>
    <row r="183" spans="1:12" x14ac:dyDescent="0.25">
      <c r="A183" s="1" t="s">
        <v>228</v>
      </c>
      <c r="B183" s="1" t="s">
        <v>5</v>
      </c>
      <c r="C183" s="1">
        <v>2097</v>
      </c>
      <c r="D183" s="1">
        <v>33</v>
      </c>
      <c r="E183" s="1">
        <v>-3</v>
      </c>
      <c r="F183" s="1">
        <v>208</v>
      </c>
      <c r="G183" s="24">
        <v>1567.37</v>
      </c>
      <c r="H183" s="1" t="s">
        <v>14</v>
      </c>
      <c r="I183" s="1" t="s">
        <v>3</v>
      </c>
      <c r="J183" s="1" t="s">
        <v>18</v>
      </c>
      <c r="K183" s="1" t="s">
        <v>1</v>
      </c>
      <c r="L183" s="1" t="s">
        <v>209</v>
      </c>
    </row>
    <row r="184" spans="1:12" x14ac:dyDescent="0.25">
      <c r="A184" s="1" t="s">
        <v>227</v>
      </c>
      <c r="B184" s="1" t="s">
        <v>5</v>
      </c>
      <c r="C184" s="1">
        <v>2681</v>
      </c>
      <c r="D184" s="1">
        <v>26</v>
      </c>
      <c r="E184" s="1">
        <v>4</v>
      </c>
      <c r="F184" s="1">
        <v>99</v>
      </c>
      <c r="G184" s="24">
        <v>2015.34</v>
      </c>
      <c r="H184" s="1" t="s">
        <v>14</v>
      </c>
      <c r="I184" s="1" t="s">
        <v>13</v>
      </c>
      <c r="J184" s="1" t="s">
        <v>18</v>
      </c>
      <c r="K184" s="1" t="s">
        <v>1</v>
      </c>
      <c r="L184" s="1" t="s">
        <v>209</v>
      </c>
    </row>
    <row r="185" spans="1:12" x14ac:dyDescent="0.25">
      <c r="A185" s="1" t="s">
        <v>226</v>
      </c>
      <c r="B185" s="1" t="s">
        <v>5</v>
      </c>
      <c r="C185" s="1">
        <v>4500</v>
      </c>
      <c r="D185" s="1">
        <v>38</v>
      </c>
      <c r="E185" s="1">
        <v>41</v>
      </c>
      <c r="F185" s="1">
        <v>52</v>
      </c>
      <c r="G185" s="24">
        <v>811.88</v>
      </c>
      <c r="H185" s="1" t="s">
        <v>14</v>
      </c>
      <c r="I185" s="1" t="s">
        <v>13</v>
      </c>
      <c r="J185" s="1" t="s">
        <v>18</v>
      </c>
      <c r="K185" s="1" t="s">
        <v>1</v>
      </c>
      <c r="L185" s="1" t="s">
        <v>209</v>
      </c>
    </row>
    <row r="186" spans="1:12" x14ac:dyDescent="0.25">
      <c r="A186" s="1" t="s">
        <v>225</v>
      </c>
      <c r="B186" s="1" t="s">
        <v>5</v>
      </c>
      <c r="C186" s="1">
        <v>3406</v>
      </c>
      <c r="D186" s="1">
        <v>13</v>
      </c>
      <c r="E186" s="1">
        <v>15</v>
      </c>
      <c r="F186" s="1">
        <v>443</v>
      </c>
      <c r="G186" s="24">
        <v>1424.17</v>
      </c>
      <c r="H186" s="1" t="s">
        <v>14</v>
      </c>
      <c r="I186" s="1" t="s">
        <v>13</v>
      </c>
      <c r="J186" s="1" t="s">
        <v>18</v>
      </c>
      <c r="K186" s="1" t="s">
        <v>1</v>
      </c>
      <c r="L186" s="1" t="s">
        <v>209</v>
      </c>
    </row>
    <row r="187" spans="1:12" x14ac:dyDescent="0.25">
      <c r="A187" s="1" t="s">
        <v>224</v>
      </c>
      <c r="B187" s="1" t="s">
        <v>5</v>
      </c>
      <c r="C187" s="1">
        <v>2228</v>
      </c>
      <c r="D187" s="1">
        <v>7</v>
      </c>
      <c r="E187" s="1">
        <v>42</v>
      </c>
      <c r="F187" s="1">
        <v>449</v>
      </c>
      <c r="G187" s="24">
        <v>1967.7</v>
      </c>
      <c r="H187" s="1" t="s">
        <v>29</v>
      </c>
      <c r="I187" s="1" t="s">
        <v>13</v>
      </c>
      <c r="J187" s="1" t="s">
        <v>18</v>
      </c>
      <c r="K187" s="1" t="s">
        <v>7</v>
      </c>
      <c r="L187" s="1" t="s">
        <v>209</v>
      </c>
    </row>
    <row r="188" spans="1:12" x14ac:dyDescent="0.25">
      <c r="A188" s="1" t="s">
        <v>223</v>
      </c>
      <c r="B188" s="1" t="s">
        <v>5</v>
      </c>
      <c r="C188" s="1">
        <v>1386</v>
      </c>
      <c r="D188" s="1">
        <v>17</v>
      </c>
      <c r="E188" s="1">
        <v>7</v>
      </c>
      <c r="F188" s="1">
        <v>79</v>
      </c>
      <c r="G188" s="24">
        <v>2435.7600000000002</v>
      </c>
      <c r="H188" s="1" t="s">
        <v>12</v>
      </c>
      <c r="I188" s="1" t="s">
        <v>13</v>
      </c>
      <c r="J188" s="1" t="s">
        <v>18</v>
      </c>
      <c r="K188" s="1" t="s">
        <v>1</v>
      </c>
      <c r="L188" s="1" t="s">
        <v>209</v>
      </c>
    </row>
    <row r="189" spans="1:12" x14ac:dyDescent="0.25">
      <c r="A189" s="1" t="s">
        <v>222</v>
      </c>
      <c r="B189" s="1" t="s">
        <v>5</v>
      </c>
      <c r="C189" s="1">
        <v>4647</v>
      </c>
      <c r="D189" s="1">
        <v>39</v>
      </c>
      <c r="E189" s="1">
        <v>7</v>
      </c>
      <c r="F189" s="1">
        <v>73</v>
      </c>
      <c r="G189" s="24">
        <v>1549.04</v>
      </c>
      <c r="H189" s="1" t="s">
        <v>12</v>
      </c>
      <c r="I189" s="1" t="s">
        <v>3</v>
      </c>
      <c r="J189" s="1" t="s">
        <v>11</v>
      </c>
      <c r="K189" s="1" t="s">
        <v>7</v>
      </c>
      <c r="L189" s="1" t="s">
        <v>209</v>
      </c>
    </row>
    <row r="190" spans="1:12" x14ac:dyDescent="0.25">
      <c r="A190" s="1" t="s">
        <v>221</v>
      </c>
      <c r="B190" s="1" t="s">
        <v>5</v>
      </c>
      <c r="C190" s="1">
        <v>962</v>
      </c>
      <c r="D190" s="1">
        <v>29</v>
      </c>
      <c r="E190" s="1">
        <v>-1</v>
      </c>
      <c r="F190" s="1">
        <v>58</v>
      </c>
      <c r="G190" s="24">
        <v>594.55999999999995</v>
      </c>
      <c r="H190" s="1" t="s">
        <v>19</v>
      </c>
      <c r="I190" s="1" t="s">
        <v>3</v>
      </c>
      <c r="J190" s="1" t="s">
        <v>18</v>
      </c>
      <c r="K190" s="1" t="s">
        <v>1</v>
      </c>
      <c r="L190" s="1" t="s">
        <v>209</v>
      </c>
    </row>
    <row r="191" spans="1:12" x14ac:dyDescent="0.25">
      <c r="A191" s="1" t="s">
        <v>220</v>
      </c>
      <c r="B191" s="1" t="s">
        <v>5</v>
      </c>
      <c r="C191" s="1">
        <v>795</v>
      </c>
      <c r="D191" s="1">
        <v>43</v>
      </c>
      <c r="E191" s="1">
        <v>15</v>
      </c>
      <c r="F191" s="1">
        <v>217</v>
      </c>
      <c r="G191" s="24">
        <v>2288.5700000000002</v>
      </c>
      <c r="H191" s="1" t="s">
        <v>4</v>
      </c>
      <c r="I191" s="1" t="s">
        <v>3</v>
      </c>
      <c r="J191" s="1" t="s">
        <v>18</v>
      </c>
      <c r="K191" s="1" t="s">
        <v>1</v>
      </c>
      <c r="L191" s="1" t="s">
        <v>209</v>
      </c>
    </row>
    <row r="192" spans="1:12" x14ac:dyDescent="0.25">
      <c r="A192" s="1" t="s">
        <v>219</v>
      </c>
      <c r="B192" s="1" t="s">
        <v>5</v>
      </c>
      <c r="C192" s="1">
        <v>1211</v>
      </c>
      <c r="D192" s="1">
        <v>32</v>
      </c>
      <c r="E192" s="1">
        <v>18</v>
      </c>
      <c r="F192" s="1">
        <v>382</v>
      </c>
      <c r="G192" s="24">
        <v>653.09</v>
      </c>
      <c r="H192" s="1" t="s">
        <v>14</v>
      </c>
      <c r="I192" s="1" t="s">
        <v>3</v>
      </c>
      <c r="J192" s="1" t="s">
        <v>18</v>
      </c>
      <c r="K192" s="1" t="s">
        <v>10</v>
      </c>
      <c r="L192" s="1" t="s">
        <v>209</v>
      </c>
    </row>
    <row r="193" spans="1:12" x14ac:dyDescent="0.25">
      <c r="A193" s="1" t="s">
        <v>218</v>
      </c>
      <c r="B193" s="1" t="s">
        <v>5</v>
      </c>
      <c r="C193" s="1">
        <v>4796</v>
      </c>
      <c r="D193" s="1">
        <v>4</v>
      </c>
      <c r="E193" s="1">
        <v>49</v>
      </c>
      <c r="F193" s="1">
        <v>222</v>
      </c>
      <c r="G193" s="24">
        <v>1543.05</v>
      </c>
      <c r="H193" s="1" t="s">
        <v>29</v>
      </c>
      <c r="I193" s="1" t="s">
        <v>13</v>
      </c>
      <c r="J193" s="1" t="s">
        <v>2</v>
      </c>
      <c r="K193" s="1" t="s">
        <v>7</v>
      </c>
      <c r="L193" s="1" t="s">
        <v>209</v>
      </c>
    </row>
    <row r="194" spans="1:12" x14ac:dyDescent="0.25">
      <c r="A194" s="1" t="s">
        <v>217</v>
      </c>
      <c r="B194" s="1" t="s">
        <v>5</v>
      </c>
      <c r="C194" s="1">
        <v>2675</v>
      </c>
      <c r="D194" s="1">
        <v>34</v>
      </c>
      <c r="E194" s="1">
        <v>18</v>
      </c>
      <c r="F194" s="1">
        <v>374</v>
      </c>
      <c r="G194" s="24">
        <v>1992.62</v>
      </c>
      <c r="H194" s="1" t="s">
        <v>12</v>
      </c>
      <c r="I194" s="1" t="s">
        <v>3</v>
      </c>
      <c r="J194" s="1" t="s">
        <v>18</v>
      </c>
      <c r="K194" s="1" t="s">
        <v>1</v>
      </c>
      <c r="L194" s="1" t="s">
        <v>209</v>
      </c>
    </row>
    <row r="195" spans="1:12" x14ac:dyDescent="0.25">
      <c r="A195" s="1" t="s">
        <v>216</v>
      </c>
      <c r="B195" s="1" t="s">
        <v>5</v>
      </c>
      <c r="C195" s="1">
        <v>3534</v>
      </c>
      <c r="D195" s="1">
        <v>44</v>
      </c>
      <c r="E195" s="1">
        <v>31</v>
      </c>
      <c r="F195" s="1">
        <v>194</v>
      </c>
      <c r="G195" s="24">
        <v>2368.87</v>
      </c>
      <c r="H195" s="1" t="s">
        <v>14</v>
      </c>
      <c r="I195" s="1" t="s">
        <v>3</v>
      </c>
      <c r="J195" s="1" t="s">
        <v>11</v>
      </c>
      <c r="K195" s="1" t="s">
        <v>1</v>
      </c>
      <c r="L195" s="1" t="s">
        <v>209</v>
      </c>
    </row>
    <row r="196" spans="1:12" x14ac:dyDescent="0.25">
      <c r="A196" s="1" t="s">
        <v>215</v>
      </c>
      <c r="B196" s="1" t="s">
        <v>5</v>
      </c>
      <c r="C196" s="1">
        <v>4942</v>
      </c>
      <c r="D196" s="1">
        <v>31</v>
      </c>
      <c r="E196" s="1">
        <v>24</v>
      </c>
      <c r="F196" s="1">
        <v>232</v>
      </c>
      <c r="G196" s="24">
        <v>2298.52</v>
      </c>
      <c r="H196" s="1" t="s">
        <v>14</v>
      </c>
      <c r="I196" s="1" t="s">
        <v>13</v>
      </c>
      <c r="J196" s="1" t="s">
        <v>18</v>
      </c>
      <c r="K196" s="1" t="s">
        <v>7</v>
      </c>
      <c r="L196" s="1" t="s">
        <v>209</v>
      </c>
    </row>
    <row r="197" spans="1:12" x14ac:dyDescent="0.25">
      <c r="A197" s="1" t="s">
        <v>214</v>
      </c>
      <c r="B197" s="1" t="s">
        <v>5</v>
      </c>
      <c r="C197" s="1">
        <v>1575</v>
      </c>
      <c r="D197" s="1">
        <v>20</v>
      </c>
      <c r="E197" s="1">
        <v>37</v>
      </c>
      <c r="F197" s="1">
        <v>71</v>
      </c>
      <c r="G197" s="24">
        <v>762.58</v>
      </c>
      <c r="H197" s="1" t="s">
        <v>19</v>
      </c>
      <c r="I197" s="1" t="s">
        <v>13</v>
      </c>
      <c r="J197" s="1" t="s">
        <v>18</v>
      </c>
      <c r="K197" s="1" t="s">
        <v>1</v>
      </c>
      <c r="L197" s="1" t="s">
        <v>209</v>
      </c>
    </row>
    <row r="198" spans="1:12" x14ac:dyDescent="0.25">
      <c r="A198" s="1" t="s">
        <v>213</v>
      </c>
      <c r="B198" s="1" t="s">
        <v>5</v>
      </c>
      <c r="C198" s="1">
        <v>4287</v>
      </c>
      <c r="D198" s="1">
        <v>40</v>
      </c>
      <c r="E198" s="1">
        <v>0</v>
      </c>
      <c r="F198" s="1">
        <v>60</v>
      </c>
      <c r="G198" s="24">
        <v>1078.19</v>
      </c>
      <c r="H198" s="1" t="s">
        <v>12</v>
      </c>
      <c r="I198" s="1" t="s">
        <v>13</v>
      </c>
      <c r="J198" s="1" t="s">
        <v>11</v>
      </c>
      <c r="K198" s="1" t="s">
        <v>10</v>
      </c>
      <c r="L198" s="1" t="s">
        <v>209</v>
      </c>
    </row>
    <row r="199" spans="1:12" x14ac:dyDescent="0.25">
      <c r="A199" s="1" t="s">
        <v>212</v>
      </c>
      <c r="B199" s="1" t="s">
        <v>5</v>
      </c>
      <c r="C199" s="1">
        <v>2614</v>
      </c>
      <c r="D199" s="1">
        <v>34</v>
      </c>
      <c r="E199" s="1">
        <v>35</v>
      </c>
      <c r="F199" s="1">
        <v>89</v>
      </c>
      <c r="G199" s="24">
        <v>1111.24</v>
      </c>
      <c r="H199" s="1" t="s">
        <v>14</v>
      </c>
      <c r="I199" s="1" t="s">
        <v>3</v>
      </c>
      <c r="J199" s="1" t="s">
        <v>2</v>
      </c>
      <c r="K199" s="1" t="s">
        <v>10</v>
      </c>
      <c r="L199" s="1" t="s">
        <v>209</v>
      </c>
    </row>
    <row r="200" spans="1:12" x14ac:dyDescent="0.25">
      <c r="A200" s="1" t="s">
        <v>211</v>
      </c>
      <c r="B200" s="1" t="s">
        <v>5</v>
      </c>
      <c r="C200" s="1">
        <v>2828</v>
      </c>
      <c r="D200" s="1">
        <v>33</v>
      </c>
      <c r="E200" s="1">
        <v>2</v>
      </c>
      <c r="F200" s="1">
        <v>395</v>
      </c>
      <c r="G200" s="24">
        <v>353.89</v>
      </c>
      <c r="H200" s="1" t="s">
        <v>25</v>
      </c>
      <c r="I200" s="1" t="s">
        <v>13</v>
      </c>
      <c r="J200" s="1" t="s">
        <v>18</v>
      </c>
      <c r="K200" s="1" t="s">
        <v>10</v>
      </c>
      <c r="L200" s="1" t="s">
        <v>209</v>
      </c>
    </row>
    <row r="201" spans="1:12" x14ac:dyDescent="0.25">
      <c r="A201" s="1" t="s">
        <v>210</v>
      </c>
      <c r="B201" s="1" t="s">
        <v>5</v>
      </c>
      <c r="C201" s="1">
        <v>2257</v>
      </c>
      <c r="D201" s="1">
        <v>13</v>
      </c>
      <c r="E201" s="1">
        <v>29</v>
      </c>
      <c r="F201" s="1">
        <v>371</v>
      </c>
      <c r="G201" s="24">
        <v>689.53</v>
      </c>
      <c r="H201" s="1" t="s">
        <v>12</v>
      </c>
      <c r="I201" s="1" t="s">
        <v>3</v>
      </c>
      <c r="J201" s="1" t="s">
        <v>18</v>
      </c>
      <c r="K201" s="1" t="s">
        <v>1</v>
      </c>
      <c r="L201" s="1" t="s">
        <v>209</v>
      </c>
    </row>
    <row r="202" spans="1:12" x14ac:dyDescent="0.25">
      <c r="A202" s="1" t="s">
        <v>208</v>
      </c>
      <c r="B202" s="1" t="s">
        <v>5</v>
      </c>
      <c r="C202" s="1">
        <v>995</v>
      </c>
      <c r="D202" s="1">
        <v>20</v>
      </c>
      <c r="E202" s="1">
        <v>28</v>
      </c>
      <c r="F202" s="1">
        <v>65</v>
      </c>
      <c r="G202" s="24">
        <v>2007.41</v>
      </c>
      <c r="H202" s="1" t="s">
        <v>14</v>
      </c>
      <c r="I202" s="1" t="s">
        <v>13</v>
      </c>
      <c r="J202" s="1" t="s">
        <v>18</v>
      </c>
      <c r="K202" s="1" t="s">
        <v>10</v>
      </c>
      <c r="L202" s="1" t="s">
        <v>162</v>
      </c>
    </row>
    <row r="203" spans="1:12" x14ac:dyDescent="0.25">
      <c r="A203" s="1" t="s">
        <v>207</v>
      </c>
      <c r="B203" s="1" t="s">
        <v>5</v>
      </c>
      <c r="C203" s="1">
        <v>2681</v>
      </c>
      <c r="D203" s="1">
        <v>19</v>
      </c>
      <c r="E203" s="1">
        <v>46</v>
      </c>
      <c r="F203" s="1">
        <v>214</v>
      </c>
      <c r="G203" s="24">
        <v>2004.27</v>
      </c>
      <c r="H203" s="1" t="s">
        <v>14</v>
      </c>
      <c r="I203" s="1" t="s">
        <v>13</v>
      </c>
      <c r="J203" s="1" t="s">
        <v>11</v>
      </c>
      <c r="K203" s="1" t="s">
        <v>17</v>
      </c>
      <c r="L203" s="1" t="s">
        <v>162</v>
      </c>
    </row>
    <row r="204" spans="1:12" x14ac:dyDescent="0.25">
      <c r="A204" s="1" t="s">
        <v>206</v>
      </c>
      <c r="B204" s="1" t="s">
        <v>5</v>
      </c>
      <c r="C204" s="1">
        <v>2434</v>
      </c>
      <c r="D204" s="1">
        <v>16</v>
      </c>
      <c r="E204" s="1">
        <v>40</v>
      </c>
      <c r="F204" s="1">
        <v>307</v>
      </c>
      <c r="G204" s="24">
        <v>324.2</v>
      </c>
      <c r="H204" s="1" t="s">
        <v>14</v>
      </c>
      <c r="I204" s="1" t="s">
        <v>13</v>
      </c>
      <c r="J204" s="1" t="s">
        <v>18</v>
      </c>
      <c r="K204" s="1" t="s">
        <v>10</v>
      </c>
      <c r="L204" s="1" t="s">
        <v>162</v>
      </c>
    </row>
    <row r="205" spans="1:12" x14ac:dyDescent="0.25">
      <c r="A205" s="1" t="s">
        <v>205</v>
      </c>
      <c r="B205" s="1" t="s">
        <v>5</v>
      </c>
      <c r="C205" s="1">
        <v>1171</v>
      </c>
      <c r="D205" s="1">
        <v>44</v>
      </c>
      <c r="E205" s="1">
        <v>5</v>
      </c>
      <c r="F205" s="1">
        <v>77</v>
      </c>
      <c r="G205" s="24">
        <v>1535.02</v>
      </c>
      <c r="H205" s="1" t="s">
        <v>29</v>
      </c>
      <c r="I205" s="1" t="s">
        <v>13</v>
      </c>
      <c r="J205" s="1" t="s">
        <v>18</v>
      </c>
      <c r="K205" s="1" t="s">
        <v>17</v>
      </c>
      <c r="L205" s="1" t="s">
        <v>162</v>
      </c>
    </row>
    <row r="206" spans="1:12" x14ac:dyDescent="0.25">
      <c r="A206" s="1" t="s">
        <v>204</v>
      </c>
      <c r="B206" s="1" t="s">
        <v>5</v>
      </c>
      <c r="C206" s="1">
        <v>2404</v>
      </c>
      <c r="D206" s="1">
        <v>6</v>
      </c>
      <c r="E206" s="1">
        <v>2</v>
      </c>
      <c r="F206" s="1">
        <v>278</v>
      </c>
      <c r="G206" s="24">
        <v>332.53</v>
      </c>
      <c r="H206" s="1" t="s">
        <v>29</v>
      </c>
      <c r="I206" s="1" t="s">
        <v>13</v>
      </c>
      <c r="J206" s="1" t="s">
        <v>8</v>
      </c>
      <c r="K206" s="1" t="s">
        <v>7</v>
      </c>
      <c r="L206" s="1" t="s">
        <v>162</v>
      </c>
    </row>
    <row r="207" spans="1:12" x14ac:dyDescent="0.25">
      <c r="A207" s="1" t="s">
        <v>203</v>
      </c>
      <c r="B207" s="1" t="s">
        <v>5</v>
      </c>
      <c r="C207" s="1">
        <v>2748</v>
      </c>
      <c r="D207" s="1">
        <v>40</v>
      </c>
      <c r="E207" s="1">
        <v>43</v>
      </c>
      <c r="F207" s="1">
        <v>265</v>
      </c>
      <c r="G207" s="24">
        <v>1000.74</v>
      </c>
      <c r="H207" s="1" t="s">
        <v>14</v>
      </c>
      <c r="I207" s="1" t="s">
        <v>3</v>
      </c>
      <c r="J207" s="1" t="s">
        <v>11</v>
      </c>
      <c r="K207" s="1" t="s">
        <v>17</v>
      </c>
      <c r="L207" s="1" t="s">
        <v>162</v>
      </c>
    </row>
    <row r="208" spans="1:12" x14ac:dyDescent="0.25">
      <c r="A208" s="1" t="s">
        <v>202</v>
      </c>
      <c r="B208" s="1" t="s">
        <v>5</v>
      </c>
      <c r="C208" s="1">
        <v>1056</v>
      </c>
      <c r="D208" s="1">
        <v>20</v>
      </c>
      <c r="E208" s="1">
        <v>28</v>
      </c>
      <c r="F208" s="1">
        <v>53</v>
      </c>
      <c r="G208" s="24">
        <v>883.01</v>
      </c>
      <c r="H208" s="1" t="s">
        <v>19</v>
      </c>
      <c r="I208" s="1" t="s">
        <v>13</v>
      </c>
      <c r="J208" s="1" t="s">
        <v>18</v>
      </c>
      <c r="K208" s="1" t="s">
        <v>10</v>
      </c>
      <c r="L208" s="1" t="s">
        <v>162</v>
      </c>
    </row>
    <row r="209" spans="1:12" x14ac:dyDescent="0.25">
      <c r="A209" s="1" t="s">
        <v>201</v>
      </c>
      <c r="B209" s="1" t="s">
        <v>5</v>
      </c>
      <c r="C209" s="1">
        <v>4965</v>
      </c>
      <c r="D209" s="1">
        <v>9</v>
      </c>
      <c r="E209" s="1">
        <v>4</v>
      </c>
      <c r="F209" s="1">
        <v>382</v>
      </c>
      <c r="G209" s="24">
        <v>2465.5</v>
      </c>
      <c r="H209" s="1" t="s">
        <v>12</v>
      </c>
      <c r="I209" s="1" t="s">
        <v>13</v>
      </c>
      <c r="J209" s="1" t="s">
        <v>18</v>
      </c>
      <c r="K209" s="1" t="s">
        <v>15</v>
      </c>
      <c r="L209" s="1" t="s">
        <v>162</v>
      </c>
    </row>
    <row r="210" spans="1:12" x14ac:dyDescent="0.25">
      <c r="A210" s="1" t="s">
        <v>200</v>
      </c>
      <c r="B210" s="1" t="s">
        <v>5</v>
      </c>
      <c r="C210" s="1">
        <v>2784</v>
      </c>
      <c r="D210" s="1">
        <v>27</v>
      </c>
      <c r="E210" s="1">
        <v>11</v>
      </c>
      <c r="F210" s="1">
        <v>82</v>
      </c>
      <c r="G210" s="24">
        <v>549.61</v>
      </c>
      <c r="H210" s="1" t="s">
        <v>14</v>
      </c>
      <c r="I210" s="1" t="s">
        <v>13</v>
      </c>
      <c r="J210" s="1" t="s">
        <v>18</v>
      </c>
      <c r="K210" s="1" t="s">
        <v>1</v>
      </c>
      <c r="L210" s="1" t="s">
        <v>162</v>
      </c>
    </row>
    <row r="211" spans="1:12" x14ac:dyDescent="0.25">
      <c r="A211" s="1" t="s">
        <v>199</v>
      </c>
      <c r="B211" s="1" t="s">
        <v>5</v>
      </c>
      <c r="C211" s="1">
        <v>2504</v>
      </c>
      <c r="D211" s="1">
        <v>24</v>
      </c>
      <c r="E211" s="1">
        <v>11</v>
      </c>
      <c r="F211" s="1">
        <v>259</v>
      </c>
      <c r="G211" s="24">
        <v>1594.89</v>
      </c>
      <c r="H211" s="1" t="s">
        <v>12</v>
      </c>
      <c r="I211" s="1" t="s">
        <v>13</v>
      </c>
      <c r="J211" s="1" t="s">
        <v>2</v>
      </c>
      <c r="K211" s="1" t="s">
        <v>21</v>
      </c>
      <c r="L211" s="1" t="s">
        <v>162</v>
      </c>
    </row>
    <row r="212" spans="1:12" x14ac:dyDescent="0.25">
      <c r="A212" s="1" t="s">
        <v>198</v>
      </c>
      <c r="B212" s="1" t="s">
        <v>5</v>
      </c>
      <c r="C212" s="1">
        <v>4558</v>
      </c>
      <c r="D212" s="1">
        <v>6</v>
      </c>
      <c r="E212" s="1">
        <v>48</v>
      </c>
      <c r="F212" s="1">
        <v>322</v>
      </c>
      <c r="G212" s="24">
        <v>2370.3200000000002</v>
      </c>
      <c r="H212" s="1" t="s">
        <v>12</v>
      </c>
      <c r="I212" s="1" t="s">
        <v>13</v>
      </c>
      <c r="J212" s="1" t="s">
        <v>11</v>
      </c>
      <c r="K212" s="1" t="s">
        <v>10</v>
      </c>
      <c r="L212" s="1" t="s">
        <v>162</v>
      </c>
    </row>
    <row r="213" spans="1:12" x14ac:dyDescent="0.25">
      <c r="A213" s="1" t="s">
        <v>197</v>
      </c>
      <c r="B213" s="1" t="s">
        <v>5</v>
      </c>
      <c r="C213" s="1">
        <v>3574</v>
      </c>
      <c r="D213" s="1">
        <v>38</v>
      </c>
      <c r="E213" s="1">
        <v>1</v>
      </c>
      <c r="F213" s="1">
        <v>96</v>
      </c>
      <c r="G213" s="24">
        <v>2224.75</v>
      </c>
      <c r="H213" s="1" t="s">
        <v>12</v>
      </c>
      <c r="I213" s="1" t="s">
        <v>3</v>
      </c>
      <c r="J213" s="1" t="s">
        <v>11</v>
      </c>
      <c r="K213" s="1" t="s">
        <v>10</v>
      </c>
      <c r="L213" s="1" t="s">
        <v>162</v>
      </c>
    </row>
    <row r="214" spans="1:12" x14ac:dyDescent="0.25">
      <c r="A214" s="1" t="s">
        <v>196</v>
      </c>
      <c r="B214" s="1" t="s">
        <v>165</v>
      </c>
      <c r="C214" s="1">
        <v>1317</v>
      </c>
      <c r="D214" s="1">
        <v>29</v>
      </c>
      <c r="E214" s="1">
        <v>6</v>
      </c>
      <c r="F214" s="1">
        <v>35</v>
      </c>
      <c r="G214" s="24">
        <v>990.5</v>
      </c>
      <c r="H214" s="1" t="s">
        <v>14</v>
      </c>
      <c r="I214" s="1" t="s">
        <v>13</v>
      </c>
      <c r="J214" s="1" t="s">
        <v>18</v>
      </c>
      <c r="K214" s="1" t="s">
        <v>1</v>
      </c>
      <c r="L214" s="1" t="s">
        <v>162</v>
      </c>
    </row>
    <row r="215" spans="1:12" x14ac:dyDescent="0.25">
      <c r="A215" s="1" t="s">
        <v>195</v>
      </c>
      <c r="B215" s="1" t="s">
        <v>165</v>
      </c>
      <c r="C215" s="1">
        <v>4297</v>
      </c>
      <c r="D215" s="1">
        <v>41</v>
      </c>
      <c r="E215" s="1">
        <v>39</v>
      </c>
      <c r="F215" s="1">
        <v>33</v>
      </c>
      <c r="G215" s="24">
        <v>991.13</v>
      </c>
      <c r="H215" s="1" t="s">
        <v>12</v>
      </c>
      <c r="I215" s="1" t="s">
        <v>3</v>
      </c>
      <c r="J215" s="1" t="s">
        <v>18</v>
      </c>
      <c r="K215" s="1" t="s">
        <v>21</v>
      </c>
      <c r="L215" s="1" t="s">
        <v>162</v>
      </c>
    </row>
    <row r="216" spans="1:12" x14ac:dyDescent="0.25">
      <c r="A216" s="1" t="s">
        <v>194</v>
      </c>
      <c r="B216" s="1" t="s">
        <v>165</v>
      </c>
      <c r="C216" s="1">
        <v>3183</v>
      </c>
      <c r="D216" s="1">
        <v>33</v>
      </c>
      <c r="E216" s="1">
        <v>17</v>
      </c>
      <c r="F216" s="1">
        <v>61</v>
      </c>
      <c r="G216" s="24">
        <v>1421.68</v>
      </c>
      <c r="H216" s="1" t="s">
        <v>14</v>
      </c>
      <c r="I216" s="1" t="s">
        <v>13</v>
      </c>
      <c r="J216" s="1" t="s">
        <v>18</v>
      </c>
      <c r="K216" s="1" t="s">
        <v>7</v>
      </c>
      <c r="L216" s="1" t="s">
        <v>162</v>
      </c>
    </row>
    <row r="217" spans="1:12" x14ac:dyDescent="0.25">
      <c r="A217" s="1" t="s">
        <v>193</v>
      </c>
      <c r="B217" s="1" t="s">
        <v>165</v>
      </c>
      <c r="C217" s="1">
        <v>1944</v>
      </c>
      <c r="D217" s="1">
        <v>9</v>
      </c>
      <c r="E217" s="1">
        <v>15</v>
      </c>
      <c r="F217" s="1">
        <v>75</v>
      </c>
      <c r="G217" s="24">
        <v>554.15</v>
      </c>
      <c r="H217" s="1" t="s">
        <v>14</v>
      </c>
      <c r="I217" s="1" t="s">
        <v>3</v>
      </c>
      <c r="J217" s="1" t="s">
        <v>18</v>
      </c>
      <c r="K217" s="1" t="s">
        <v>7</v>
      </c>
      <c r="L217" s="1" t="s">
        <v>162</v>
      </c>
    </row>
    <row r="218" spans="1:12" x14ac:dyDescent="0.25">
      <c r="A218" s="1" t="s">
        <v>192</v>
      </c>
      <c r="B218" s="1" t="s">
        <v>165</v>
      </c>
      <c r="C218" s="1">
        <v>529</v>
      </c>
      <c r="D218" s="1">
        <v>33</v>
      </c>
      <c r="E218" s="1">
        <v>39</v>
      </c>
      <c r="F218" s="1">
        <v>21</v>
      </c>
      <c r="G218" s="24">
        <v>798.55</v>
      </c>
      <c r="H218" s="1" t="s">
        <v>14</v>
      </c>
      <c r="I218" s="1" t="s">
        <v>13</v>
      </c>
      <c r="J218" s="1" t="s">
        <v>8</v>
      </c>
      <c r="K218" s="1" t="s">
        <v>15</v>
      </c>
      <c r="L218" s="1" t="s">
        <v>162</v>
      </c>
    </row>
    <row r="219" spans="1:12" x14ac:dyDescent="0.25">
      <c r="A219" s="1" t="s">
        <v>191</v>
      </c>
      <c r="B219" s="1" t="s">
        <v>165</v>
      </c>
      <c r="C219" s="1">
        <v>4122</v>
      </c>
      <c r="D219" s="1">
        <v>13</v>
      </c>
      <c r="E219" s="1">
        <v>14</v>
      </c>
      <c r="F219" s="1">
        <v>277</v>
      </c>
      <c r="G219" s="24">
        <v>1033.19</v>
      </c>
      <c r="H219" s="1" t="s">
        <v>4</v>
      </c>
      <c r="I219" s="1" t="s">
        <v>13</v>
      </c>
      <c r="J219" s="1" t="s">
        <v>2</v>
      </c>
      <c r="K219" s="1" t="s">
        <v>1</v>
      </c>
      <c r="L219" s="1" t="s">
        <v>162</v>
      </c>
    </row>
    <row r="220" spans="1:12" x14ac:dyDescent="0.25">
      <c r="A220" s="1" t="s">
        <v>190</v>
      </c>
      <c r="B220" s="1" t="s">
        <v>165</v>
      </c>
      <c r="C220" s="1">
        <v>4094</v>
      </c>
      <c r="D220" s="1">
        <v>3</v>
      </c>
      <c r="E220" s="1">
        <v>42</v>
      </c>
      <c r="F220" s="1">
        <v>261</v>
      </c>
      <c r="G220" s="24">
        <v>1492.19</v>
      </c>
      <c r="H220" s="1" t="s">
        <v>14</v>
      </c>
      <c r="I220" s="1" t="s">
        <v>13</v>
      </c>
      <c r="J220" s="1" t="s">
        <v>11</v>
      </c>
      <c r="K220" s="1" t="s">
        <v>17</v>
      </c>
      <c r="L220" s="1" t="s">
        <v>162</v>
      </c>
    </row>
    <row r="221" spans="1:12" x14ac:dyDescent="0.25">
      <c r="A221" s="1" t="s">
        <v>189</v>
      </c>
      <c r="B221" s="1" t="s">
        <v>165</v>
      </c>
      <c r="C221" s="1">
        <v>4297</v>
      </c>
      <c r="D221" s="1">
        <v>30</v>
      </c>
      <c r="E221" s="1">
        <v>24</v>
      </c>
      <c r="F221" s="1">
        <v>42</v>
      </c>
      <c r="G221" s="24">
        <v>2464.4499999999998</v>
      </c>
      <c r="H221" s="1" t="s">
        <v>4</v>
      </c>
      <c r="I221" s="1" t="s">
        <v>13</v>
      </c>
      <c r="J221" s="1" t="s">
        <v>18</v>
      </c>
      <c r="K221" s="1" t="s">
        <v>1</v>
      </c>
      <c r="L221" s="1" t="s">
        <v>162</v>
      </c>
    </row>
    <row r="222" spans="1:12" x14ac:dyDescent="0.25">
      <c r="A222" s="1" t="s">
        <v>188</v>
      </c>
      <c r="B222" s="1" t="s">
        <v>165</v>
      </c>
      <c r="C222" s="1">
        <v>624</v>
      </c>
      <c r="D222" s="1">
        <v>27</v>
      </c>
      <c r="E222" s="1">
        <v>40</v>
      </c>
      <c r="F222" s="1">
        <v>230</v>
      </c>
      <c r="G222" s="24">
        <v>1933.03</v>
      </c>
      <c r="H222" s="1" t="s">
        <v>25</v>
      </c>
      <c r="I222" s="1" t="s">
        <v>3</v>
      </c>
      <c r="J222" s="1" t="s">
        <v>11</v>
      </c>
      <c r="K222" s="1" t="s">
        <v>7</v>
      </c>
      <c r="L222" s="1" t="s">
        <v>162</v>
      </c>
    </row>
    <row r="223" spans="1:12" x14ac:dyDescent="0.25">
      <c r="A223" s="1" t="s">
        <v>187</v>
      </c>
      <c r="B223" s="1" t="s">
        <v>165</v>
      </c>
      <c r="C223" s="1">
        <v>4592</v>
      </c>
      <c r="D223" s="1">
        <v>7</v>
      </c>
      <c r="E223" s="1">
        <v>18</v>
      </c>
      <c r="F223" s="1">
        <v>267</v>
      </c>
      <c r="G223" s="24">
        <v>1345.72</v>
      </c>
      <c r="H223" s="1" t="s">
        <v>14</v>
      </c>
      <c r="I223" s="1" t="s">
        <v>13</v>
      </c>
      <c r="J223" s="1" t="s">
        <v>18</v>
      </c>
      <c r="K223" s="1" t="s">
        <v>7</v>
      </c>
      <c r="L223" s="1" t="s">
        <v>162</v>
      </c>
    </row>
    <row r="224" spans="1:12" x14ac:dyDescent="0.25">
      <c r="A224" s="1" t="s">
        <v>186</v>
      </c>
      <c r="B224" s="1" t="s">
        <v>165</v>
      </c>
      <c r="C224" s="1">
        <v>2873</v>
      </c>
      <c r="D224" s="1">
        <v>21</v>
      </c>
      <c r="E224" s="1">
        <v>42</v>
      </c>
      <c r="F224" s="1">
        <v>388</v>
      </c>
      <c r="G224" s="24">
        <v>861.37</v>
      </c>
      <c r="H224" s="1" t="s">
        <v>19</v>
      </c>
      <c r="I224" s="1" t="s">
        <v>13</v>
      </c>
      <c r="J224" s="1" t="s">
        <v>11</v>
      </c>
      <c r="K224" s="1" t="s">
        <v>10</v>
      </c>
      <c r="L224" s="1" t="s">
        <v>162</v>
      </c>
    </row>
    <row r="225" spans="1:12" x14ac:dyDescent="0.25">
      <c r="A225" s="1" t="s">
        <v>185</v>
      </c>
      <c r="B225" s="1" t="s">
        <v>165</v>
      </c>
      <c r="C225" s="1">
        <v>2186</v>
      </c>
      <c r="D225" s="1">
        <v>3</v>
      </c>
      <c r="E225" s="1">
        <v>42</v>
      </c>
      <c r="F225" s="1">
        <v>346</v>
      </c>
      <c r="G225" s="24">
        <v>1092.08</v>
      </c>
      <c r="H225" s="1" t="s">
        <v>29</v>
      </c>
      <c r="I225" s="1" t="s">
        <v>3</v>
      </c>
      <c r="J225" s="1" t="s">
        <v>8</v>
      </c>
      <c r="K225" s="1" t="s">
        <v>21</v>
      </c>
      <c r="L225" s="1" t="s">
        <v>162</v>
      </c>
    </row>
    <row r="226" spans="1:12" x14ac:dyDescent="0.25">
      <c r="A226" s="1" t="s">
        <v>184</v>
      </c>
      <c r="B226" s="1" t="s">
        <v>165</v>
      </c>
      <c r="C226" s="1">
        <v>2154</v>
      </c>
      <c r="D226" s="1">
        <v>9</v>
      </c>
      <c r="E226" s="1">
        <v>8</v>
      </c>
      <c r="F226" s="1">
        <v>295</v>
      </c>
      <c r="G226" s="24">
        <v>1684.46</v>
      </c>
      <c r="H226" s="1" t="s">
        <v>14</v>
      </c>
      <c r="I226" s="1" t="s">
        <v>3</v>
      </c>
      <c r="J226" s="1" t="s">
        <v>18</v>
      </c>
      <c r="K226" s="1" t="s">
        <v>10</v>
      </c>
      <c r="L226" s="1" t="s">
        <v>162</v>
      </c>
    </row>
    <row r="227" spans="1:12" x14ac:dyDescent="0.25">
      <c r="A227" s="1" t="s">
        <v>183</v>
      </c>
      <c r="B227" s="1" t="s">
        <v>165</v>
      </c>
      <c r="C227" s="1">
        <v>2487</v>
      </c>
      <c r="D227" s="1">
        <v>21</v>
      </c>
      <c r="E227" s="1">
        <v>15</v>
      </c>
      <c r="F227" s="1">
        <v>204</v>
      </c>
      <c r="G227" s="24">
        <v>1947.52</v>
      </c>
      <c r="H227" s="1" t="s">
        <v>12</v>
      </c>
      <c r="I227" s="1" t="s">
        <v>13</v>
      </c>
      <c r="J227" s="1" t="s">
        <v>18</v>
      </c>
      <c r="K227" s="1" t="s">
        <v>15</v>
      </c>
      <c r="L227" s="1" t="s">
        <v>162</v>
      </c>
    </row>
    <row r="228" spans="1:12" x14ac:dyDescent="0.25">
      <c r="A228" s="1" t="s">
        <v>182</v>
      </c>
      <c r="B228" s="1" t="s">
        <v>165</v>
      </c>
      <c r="C228" s="1">
        <v>2652</v>
      </c>
      <c r="D228" s="1">
        <v>9</v>
      </c>
      <c r="E228" s="1">
        <v>39</v>
      </c>
      <c r="F228" s="1">
        <v>407</v>
      </c>
      <c r="G228" s="24">
        <v>1823.09</v>
      </c>
      <c r="H228" s="1" t="s">
        <v>19</v>
      </c>
      <c r="I228" s="1" t="s">
        <v>3</v>
      </c>
      <c r="J228" s="1" t="s">
        <v>11</v>
      </c>
      <c r="K228" s="1" t="s">
        <v>10</v>
      </c>
      <c r="L228" s="1" t="s">
        <v>162</v>
      </c>
    </row>
    <row r="229" spans="1:12" x14ac:dyDescent="0.25">
      <c r="A229" s="1" t="s">
        <v>181</v>
      </c>
      <c r="B229" s="1" t="s">
        <v>165</v>
      </c>
      <c r="C229" s="1">
        <v>2058</v>
      </c>
      <c r="D229" s="1">
        <v>44</v>
      </c>
      <c r="E229" s="1">
        <v>24</v>
      </c>
      <c r="F229" s="1">
        <v>144</v>
      </c>
      <c r="G229" s="24">
        <v>1520.75</v>
      </c>
      <c r="H229" s="1" t="s">
        <v>25</v>
      </c>
      <c r="I229" s="1" t="s">
        <v>3</v>
      </c>
      <c r="J229" s="1" t="s">
        <v>11</v>
      </c>
      <c r="K229" s="1" t="s">
        <v>1</v>
      </c>
      <c r="L229" s="1" t="s">
        <v>162</v>
      </c>
    </row>
    <row r="230" spans="1:12" x14ac:dyDescent="0.25">
      <c r="A230" s="1" t="s">
        <v>180</v>
      </c>
      <c r="B230" s="1" t="s">
        <v>165</v>
      </c>
      <c r="C230" s="1">
        <v>3553</v>
      </c>
      <c r="D230" s="1">
        <v>10</v>
      </c>
      <c r="E230" s="1">
        <v>19</v>
      </c>
      <c r="F230" s="1">
        <v>279</v>
      </c>
      <c r="G230" s="24">
        <v>1658.77</v>
      </c>
      <c r="H230" s="1" t="s">
        <v>12</v>
      </c>
      <c r="I230" s="1" t="s">
        <v>3</v>
      </c>
      <c r="J230" s="1" t="s">
        <v>18</v>
      </c>
      <c r="K230" s="1" t="s">
        <v>1</v>
      </c>
      <c r="L230" s="1" t="s">
        <v>162</v>
      </c>
    </row>
    <row r="231" spans="1:12" x14ac:dyDescent="0.25">
      <c r="A231" s="1" t="s">
        <v>179</v>
      </c>
      <c r="B231" s="1" t="s">
        <v>165</v>
      </c>
      <c r="C231" s="1">
        <v>1129</v>
      </c>
      <c r="D231" s="1">
        <v>8</v>
      </c>
      <c r="E231" s="1">
        <v>41</v>
      </c>
      <c r="F231" s="1">
        <v>231</v>
      </c>
      <c r="G231" s="24">
        <v>1676.51</v>
      </c>
      <c r="H231" s="1" t="s">
        <v>14</v>
      </c>
      <c r="I231" s="1" t="s">
        <v>3</v>
      </c>
      <c r="J231" s="1" t="s">
        <v>18</v>
      </c>
      <c r="K231" s="1" t="s">
        <v>7</v>
      </c>
      <c r="L231" s="1" t="s">
        <v>162</v>
      </c>
    </row>
    <row r="232" spans="1:12" x14ac:dyDescent="0.25">
      <c r="A232" s="1" t="s">
        <v>178</v>
      </c>
      <c r="B232" s="1" t="s">
        <v>165</v>
      </c>
      <c r="C232" s="1">
        <v>1172</v>
      </c>
      <c r="D232" s="1">
        <v>39</v>
      </c>
      <c r="E232" s="1">
        <v>22</v>
      </c>
      <c r="F232" s="1">
        <v>388</v>
      </c>
      <c r="G232" s="24">
        <v>490.71</v>
      </c>
      <c r="H232" s="1" t="s">
        <v>14</v>
      </c>
      <c r="I232" s="1" t="s">
        <v>13</v>
      </c>
      <c r="J232" s="1" t="s">
        <v>11</v>
      </c>
      <c r="K232" s="1" t="s">
        <v>10</v>
      </c>
      <c r="L232" s="1" t="s">
        <v>162</v>
      </c>
    </row>
    <row r="233" spans="1:12" x14ac:dyDescent="0.25">
      <c r="A233" s="1" t="s">
        <v>177</v>
      </c>
      <c r="B233" s="1" t="s">
        <v>165</v>
      </c>
      <c r="C233" s="1">
        <v>920</v>
      </c>
      <c r="D233" s="1">
        <v>42</v>
      </c>
      <c r="E233" s="1">
        <v>11</v>
      </c>
      <c r="F233" s="1">
        <v>135</v>
      </c>
      <c r="G233" s="24">
        <v>692.58</v>
      </c>
      <c r="H233" s="1" t="s">
        <v>4</v>
      </c>
      <c r="I233" s="1" t="s">
        <v>13</v>
      </c>
      <c r="J233" s="1" t="s">
        <v>11</v>
      </c>
      <c r="K233" s="1" t="s">
        <v>10</v>
      </c>
      <c r="L233" s="1" t="s">
        <v>162</v>
      </c>
    </row>
    <row r="234" spans="1:12" x14ac:dyDescent="0.25">
      <c r="A234" s="1" t="s">
        <v>176</v>
      </c>
      <c r="B234" s="1" t="s">
        <v>165</v>
      </c>
      <c r="C234" s="1">
        <v>2451</v>
      </c>
      <c r="D234" s="1">
        <v>25</v>
      </c>
      <c r="E234" s="1">
        <v>43</v>
      </c>
      <c r="F234" s="1">
        <v>171</v>
      </c>
      <c r="G234" s="24">
        <v>8</v>
      </c>
      <c r="H234" s="1" t="s">
        <v>12</v>
      </c>
      <c r="I234" s="1" t="s">
        <v>13</v>
      </c>
      <c r="J234" s="1" t="s">
        <v>18</v>
      </c>
      <c r="K234" s="1" t="s">
        <v>10</v>
      </c>
      <c r="L234" s="1" t="s">
        <v>162</v>
      </c>
    </row>
    <row r="235" spans="1:12" x14ac:dyDescent="0.25">
      <c r="A235" s="1" t="s">
        <v>175</v>
      </c>
      <c r="B235" s="1" t="s">
        <v>165</v>
      </c>
      <c r="C235" s="1">
        <v>2803</v>
      </c>
      <c r="D235" s="1">
        <v>26</v>
      </c>
      <c r="E235" s="1">
        <v>25</v>
      </c>
      <c r="F235" s="1">
        <v>145</v>
      </c>
      <c r="G235" s="24">
        <v>1128.8</v>
      </c>
      <c r="H235" s="1" t="s">
        <v>19</v>
      </c>
      <c r="I235" s="1" t="s">
        <v>13</v>
      </c>
      <c r="J235" s="1" t="s">
        <v>11</v>
      </c>
      <c r="K235" s="1" t="s">
        <v>7</v>
      </c>
      <c r="L235" s="1" t="s">
        <v>162</v>
      </c>
    </row>
    <row r="236" spans="1:12" x14ac:dyDescent="0.25">
      <c r="A236" s="1" t="s">
        <v>174</v>
      </c>
      <c r="B236" s="1" t="s">
        <v>165</v>
      </c>
      <c r="C236" s="1">
        <v>3450</v>
      </c>
      <c r="D236" s="1">
        <v>3</v>
      </c>
      <c r="E236" s="1">
        <v>-4</v>
      </c>
      <c r="F236" s="1">
        <v>314</v>
      </c>
      <c r="G236" s="24">
        <v>1128.75</v>
      </c>
      <c r="H236" s="1" t="s">
        <v>14</v>
      </c>
      <c r="I236" s="1" t="s">
        <v>3</v>
      </c>
      <c r="J236" s="1" t="s">
        <v>18</v>
      </c>
      <c r="K236" s="1" t="s">
        <v>15</v>
      </c>
      <c r="L236" s="1" t="s">
        <v>162</v>
      </c>
    </row>
    <row r="237" spans="1:12" x14ac:dyDescent="0.25">
      <c r="A237" s="1" t="s">
        <v>173</v>
      </c>
      <c r="B237" s="1" t="s">
        <v>165</v>
      </c>
      <c r="C237" s="1">
        <v>2029</v>
      </c>
      <c r="D237" s="1">
        <v>37</v>
      </c>
      <c r="E237" s="1">
        <v>46</v>
      </c>
      <c r="F237" s="1">
        <v>390</v>
      </c>
      <c r="G237" s="24">
        <v>1213.3399999999999</v>
      </c>
      <c r="H237" s="1" t="s">
        <v>14</v>
      </c>
      <c r="I237" s="1" t="s">
        <v>13</v>
      </c>
      <c r="J237" s="1" t="s">
        <v>8</v>
      </c>
      <c r="K237" s="1" t="s">
        <v>7</v>
      </c>
      <c r="L237" s="1" t="s">
        <v>162</v>
      </c>
    </row>
    <row r="238" spans="1:12" x14ac:dyDescent="0.25">
      <c r="A238" s="1" t="s">
        <v>172</v>
      </c>
      <c r="B238" s="1" t="s">
        <v>165</v>
      </c>
      <c r="C238" s="1">
        <v>4654</v>
      </c>
      <c r="D238" s="1">
        <v>27</v>
      </c>
      <c r="E238" s="1">
        <v>39</v>
      </c>
      <c r="F238" s="1">
        <v>360</v>
      </c>
      <c r="G238" s="24">
        <v>1773.79</v>
      </c>
      <c r="H238" s="1" t="s">
        <v>12</v>
      </c>
      <c r="I238" s="1" t="s">
        <v>3</v>
      </c>
      <c r="J238" s="1" t="s">
        <v>18</v>
      </c>
      <c r="K238" s="1" t="s">
        <v>7</v>
      </c>
      <c r="L238" s="1" t="s">
        <v>162</v>
      </c>
    </row>
    <row r="239" spans="1:12" x14ac:dyDescent="0.25">
      <c r="A239" s="1" t="s">
        <v>171</v>
      </c>
      <c r="B239" s="1" t="s">
        <v>165</v>
      </c>
      <c r="C239" s="1">
        <v>1002</v>
      </c>
      <c r="D239" s="1">
        <v>42</v>
      </c>
      <c r="E239" s="1">
        <v>27</v>
      </c>
      <c r="F239" s="1">
        <v>386</v>
      </c>
      <c r="G239" s="24">
        <v>503.89</v>
      </c>
      <c r="H239" s="1" t="s">
        <v>14</v>
      </c>
      <c r="I239" s="1" t="s">
        <v>3</v>
      </c>
      <c r="J239" s="1" t="s">
        <v>18</v>
      </c>
      <c r="K239" s="1" t="s">
        <v>21</v>
      </c>
      <c r="L239" s="1" t="s">
        <v>162</v>
      </c>
    </row>
    <row r="240" spans="1:12" x14ac:dyDescent="0.25">
      <c r="A240" s="1" t="s">
        <v>170</v>
      </c>
      <c r="B240" s="1" t="s">
        <v>165</v>
      </c>
      <c r="C240" s="1">
        <v>911</v>
      </c>
      <c r="D240" s="1">
        <v>7</v>
      </c>
      <c r="E240" s="1">
        <v>28</v>
      </c>
      <c r="F240" s="1">
        <v>268</v>
      </c>
      <c r="G240" s="24">
        <v>1909.05</v>
      </c>
      <c r="H240" s="1" t="s">
        <v>12</v>
      </c>
      <c r="I240" s="1" t="s">
        <v>13</v>
      </c>
      <c r="J240" s="1" t="s">
        <v>8</v>
      </c>
      <c r="K240" s="1" t="s">
        <v>7</v>
      </c>
      <c r="L240" s="1" t="s">
        <v>162</v>
      </c>
    </row>
    <row r="241" spans="1:12" x14ac:dyDescent="0.25">
      <c r="A241" s="1" t="s">
        <v>169</v>
      </c>
      <c r="B241" s="1" t="s">
        <v>165</v>
      </c>
      <c r="C241" s="1">
        <v>4565</v>
      </c>
      <c r="D241" s="1">
        <v>7</v>
      </c>
      <c r="E241" s="1">
        <v>32</v>
      </c>
      <c r="F241" s="1">
        <v>443</v>
      </c>
      <c r="G241" s="24">
        <v>1882.39</v>
      </c>
      <c r="H241" s="1" t="s">
        <v>19</v>
      </c>
      <c r="I241" s="1" t="s">
        <v>3</v>
      </c>
      <c r="J241" s="1" t="s">
        <v>18</v>
      </c>
      <c r="K241" s="1" t="s">
        <v>10</v>
      </c>
      <c r="L241" s="1" t="s">
        <v>162</v>
      </c>
    </row>
    <row r="242" spans="1:12" x14ac:dyDescent="0.25">
      <c r="A242" s="1" t="s">
        <v>168</v>
      </c>
      <c r="B242" s="1" t="s">
        <v>165</v>
      </c>
      <c r="C242" s="1">
        <v>2392</v>
      </c>
      <c r="D242" s="1">
        <v>10</v>
      </c>
      <c r="E242" s="1">
        <v>50</v>
      </c>
      <c r="F242" s="1">
        <v>223</v>
      </c>
      <c r="G242" s="24">
        <v>2131.1999999999998</v>
      </c>
      <c r="H242" s="1" t="s">
        <v>14</v>
      </c>
      <c r="I242" s="1" t="s">
        <v>3</v>
      </c>
      <c r="J242" s="1" t="s">
        <v>2</v>
      </c>
      <c r="K242" s="1" t="s">
        <v>7</v>
      </c>
      <c r="L242" s="1" t="s">
        <v>162</v>
      </c>
    </row>
    <row r="243" spans="1:12" x14ac:dyDescent="0.25">
      <c r="A243" s="1" t="s">
        <v>167</v>
      </c>
      <c r="B243" s="1" t="s">
        <v>165</v>
      </c>
      <c r="C243" s="1">
        <v>3903</v>
      </c>
      <c r="D243" s="1">
        <v>41</v>
      </c>
      <c r="E243" s="1">
        <v>43</v>
      </c>
      <c r="F243" s="1">
        <v>122</v>
      </c>
      <c r="G243" s="24">
        <v>2418</v>
      </c>
      <c r="H243" s="1" t="s">
        <v>14</v>
      </c>
      <c r="I243" s="1" t="s">
        <v>13</v>
      </c>
      <c r="J243" s="1" t="s">
        <v>18</v>
      </c>
      <c r="K243" s="1" t="s">
        <v>15</v>
      </c>
      <c r="L243" s="1" t="s">
        <v>162</v>
      </c>
    </row>
    <row r="244" spans="1:12" x14ac:dyDescent="0.25">
      <c r="A244" s="1" t="s">
        <v>166</v>
      </c>
      <c r="B244" s="1" t="s">
        <v>165</v>
      </c>
      <c r="C244" s="1">
        <v>3814</v>
      </c>
      <c r="D244" s="1">
        <v>9</v>
      </c>
      <c r="E244" s="1">
        <v>5</v>
      </c>
      <c r="F244" s="1">
        <v>375</v>
      </c>
      <c r="G244" s="24">
        <v>1352.24</v>
      </c>
      <c r="H244" s="1" t="s">
        <v>14</v>
      </c>
      <c r="I244" s="1" t="s">
        <v>13</v>
      </c>
      <c r="J244" s="1" t="s">
        <v>11</v>
      </c>
      <c r="K244" s="1" t="s">
        <v>17</v>
      </c>
      <c r="L244" s="1" t="s">
        <v>162</v>
      </c>
    </row>
    <row r="245" spans="1:12" x14ac:dyDescent="0.25">
      <c r="A245" s="1" t="s">
        <v>164</v>
      </c>
      <c r="B245" s="1" t="s">
        <v>133</v>
      </c>
      <c r="C245" s="1">
        <v>705</v>
      </c>
      <c r="D245" s="1">
        <v>41</v>
      </c>
      <c r="E245" s="1">
        <v>24</v>
      </c>
      <c r="F245" s="1">
        <v>395</v>
      </c>
      <c r="G245" s="24">
        <v>973.54</v>
      </c>
      <c r="H245" s="1" t="s">
        <v>19</v>
      </c>
      <c r="I245" s="1" t="s">
        <v>3</v>
      </c>
      <c r="J245" s="1" t="s">
        <v>8</v>
      </c>
      <c r="K245" s="1" t="s">
        <v>10</v>
      </c>
      <c r="L245" s="1" t="s">
        <v>162</v>
      </c>
    </row>
    <row r="246" spans="1:12" x14ac:dyDescent="0.25">
      <c r="A246" s="1" t="s">
        <v>163</v>
      </c>
      <c r="B246" s="1" t="s">
        <v>133</v>
      </c>
      <c r="C246" s="1">
        <v>1296</v>
      </c>
      <c r="D246" s="1">
        <v>36</v>
      </c>
      <c r="E246" s="1">
        <v>43</v>
      </c>
      <c r="F246" s="1">
        <v>28</v>
      </c>
      <c r="G246" s="24">
        <v>1940.16</v>
      </c>
      <c r="H246" s="1" t="s">
        <v>12</v>
      </c>
      <c r="I246" s="1" t="s">
        <v>3</v>
      </c>
      <c r="J246" s="1" t="s">
        <v>11</v>
      </c>
      <c r="K246" s="1" t="s">
        <v>10</v>
      </c>
      <c r="L246" s="1" t="s">
        <v>162</v>
      </c>
    </row>
    <row r="247" spans="1:12" x14ac:dyDescent="0.25">
      <c r="A247" s="1" t="s">
        <v>161</v>
      </c>
      <c r="B247" s="1" t="s">
        <v>133</v>
      </c>
      <c r="C247" s="1">
        <v>744</v>
      </c>
      <c r="D247" s="1">
        <v>23</v>
      </c>
      <c r="E247" s="1">
        <v>5</v>
      </c>
      <c r="F247" s="1">
        <v>294</v>
      </c>
      <c r="G247" s="24">
        <v>289.72000000000003</v>
      </c>
      <c r="H247" s="1" t="s">
        <v>12</v>
      </c>
      <c r="I247" s="1" t="s">
        <v>3</v>
      </c>
      <c r="J247" s="1" t="s">
        <v>18</v>
      </c>
      <c r="K247" s="1" t="s">
        <v>17</v>
      </c>
      <c r="L247" s="1" t="s">
        <v>120</v>
      </c>
    </row>
    <row r="248" spans="1:12" x14ac:dyDescent="0.25">
      <c r="A248" s="1" t="s">
        <v>160</v>
      </c>
      <c r="B248" s="1" t="s">
        <v>133</v>
      </c>
      <c r="C248" s="1">
        <v>2502</v>
      </c>
      <c r="D248" s="1">
        <v>24</v>
      </c>
      <c r="E248" s="1">
        <v>3</v>
      </c>
      <c r="F248" s="1">
        <v>173</v>
      </c>
      <c r="G248" s="24">
        <v>796.26</v>
      </c>
      <c r="H248" s="1" t="s">
        <v>25</v>
      </c>
      <c r="I248" s="1" t="s">
        <v>3</v>
      </c>
      <c r="J248" s="1" t="s">
        <v>18</v>
      </c>
      <c r="K248" s="1" t="s">
        <v>7</v>
      </c>
      <c r="L248" s="1" t="s">
        <v>120</v>
      </c>
    </row>
    <row r="249" spans="1:12" x14ac:dyDescent="0.25">
      <c r="A249" s="1" t="s">
        <v>159</v>
      </c>
      <c r="B249" s="1" t="s">
        <v>133</v>
      </c>
      <c r="C249" s="1">
        <v>1400</v>
      </c>
      <c r="D249" s="1">
        <v>20</v>
      </c>
      <c r="E249" s="1">
        <v>1</v>
      </c>
      <c r="F249" s="1">
        <v>254</v>
      </c>
      <c r="G249" s="24">
        <v>2072.15</v>
      </c>
      <c r="H249" s="1" t="s">
        <v>19</v>
      </c>
      <c r="I249" s="1" t="s">
        <v>13</v>
      </c>
      <c r="J249" s="1" t="s">
        <v>11</v>
      </c>
      <c r="K249" s="1" t="s">
        <v>21</v>
      </c>
      <c r="L249" s="1" t="s">
        <v>120</v>
      </c>
    </row>
    <row r="250" spans="1:12" x14ac:dyDescent="0.25">
      <c r="A250" s="1" t="s">
        <v>158</v>
      </c>
      <c r="B250" s="1" t="s">
        <v>133</v>
      </c>
      <c r="C250" s="1">
        <v>1678</v>
      </c>
      <c r="D250" s="1">
        <v>27</v>
      </c>
      <c r="E250" s="1">
        <v>11</v>
      </c>
      <c r="F250" s="1">
        <v>299</v>
      </c>
      <c r="G250" s="24">
        <v>915.73</v>
      </c>
      <c r="H250" s="1" t="s">
        <v>4</v>
      </c>
      <c r="I250" s="1" t="s">
        <v>3</v>
      </c>
      <c r="J250" s="1" t="s">
        <v>18</v>
      </c>
      <c r="K250" s="1" t="s">
        <v>1</v>
      </c>
      <c r="L250" s="1" t="s">
        <v>120</v>
      </c>
    </row>
    <row r="251" spans="1:12" x14ac:dyDescent="0.25">
      <c r="A251" s="1" t="s">
        <v>157</v>
      </c>
      <c r="B251" s="1" t="s">
        <v>133</v>
      </c>
      <c r="C251" s="1">
        <v>2919</v>
      </c>
      <c r="D251" s="1">
        <v>13</v>
      </c>
      <c r="E251" s="1">
        <v>26</v>
      </c>
      <c r="F251" s="1">
        <v>167</v>
      </c>
      <c r="G251" s="24">
        <v>672.93</v>
      </c>
      <c r="H251" s="1" t="s">
        <v>12</v>
      </c>
      <c r="I251" s="1" t="s">
        <v>13</v>
      </c>
      <c r="J251" s="1" t="s">
        <v>8</v>
      </c>
      <c r="K251" s="1" t="s">
        <v>7</v>
      </c>
      <c r="L251" s="1" t="s">
        <v>120</v>
      </c>
    </row>
    <row r="252" spans="1:12" x14ac:dyDescent="0.25">
      <c r="A252" s="1" t="s">
        <v>156</v>
      </c>
      <c r="B252" s="1" t="s">
        <v>133</v>
      </c>
      <c r="C252" s="1">
        <v>1704</v>
      </c>
      <c r="D252" s="1">
        <v>17</v>
      </c>
      <c r="E252" s="1">
        <v>27</v>
      </c>
      <c r="F252" s="1">
        <v>124</v>
      </c>
      <c r="G252" s="24">
        <v>1414.67</v>
      </c>
      <c r="H252" s="1" t="s">
        <v>12</v>
      </c>
      <c r="I252" s="1" t="s">
        <v>3</v>
      </c>
      <c r="J252" s="1" t="s">
        <v>18</v>
      </c>
      <c r="K252" s="1" t="s">
        <v>1</v>
      </c>
      <c r="L252" s="1" t="s">
        <v>120</v>
      </c>
    </row>
    <row r="253" spans="1:12" x14ac:dyDescent="0.25">
      <c r="A253" s="1" t="s">
        <v>155</v>
      </c>
      <c r="B253" s="1" t="s">
        <v>133</v>
      </c>
      <c r="C253" s="1">
        <v>3083</v>
      </c>
      <c r="D253" s="1">
        <v>34</v>
      </c>
      <c r="E253" s="1">
        <v>43</v>
      </c>
      <c r="F253" s="1">
        <v>108</v>
      </c>
      <c r="G253" s="24">
        <v>698.19</v>
      </c>
      <c r="H253" s="1" t="s">
        <v>25</v>
      </c>
      <c r="I253" s="1" t="s">
        <v>13</v>
      </c>
      <c r="J253" s="1" t="s">
        <v>18</v>
      </c>
      <c r="K253" s="1" t="s">
        <v>1</v>
      </c>
      <c r="L253" s="1" t="s">
        <v>120</v>
      </c>
    </row>
    <row r="254" spans="1:12" x14ac:dyDescent="0.25">
      <c r="A254" s="1" t="s">
        <v>154</v>
      </c>
      <c r="B254" s="1" t="s">
        <v>133</v>
      </c>
      <c r="C254" s="1">
        <v>706</v>
      </c>
      <c r="D254" s="1">
        <v>6</v>
      </c>
      <c r="E254" s="1">
        <v>37</v>
      </c>
      <c r="F254" s="1">
        <v>447</v>
      </c>
      <c r="G254" s="24">
        <v>1460.23</v>
      </c>
      <c r="H254" s="1" t="s">
        <v>14</v>
      </c>
      <c r="I254" s="1" t="s">
        <v>13</v>
      </c>
      <c r="J254" s="1" t="s">
        <v>18</v>
      </c>
      <c r="K254" s="1" t="s">
        <v>21</v>
      </c>
      <c r="L254" s="1" t="s">
        <v>120</v>
      </c>
    </row>
    <row r="255" spans="1:12" x14ac:dyDescent="0.25">
      <c r="A255" s="1" t="s">
        <v>153</v>
      </c>
      <c r="B255" s="1" t="s">
        <v>133</v>
      </c>
      <c r="C255" s="1">
        <v>646</v>
      </c>
      <c r="D255" s="1">
        <v>9</v>
      </c>
      <c r="E255" s="1">
        <v>26</v>
      </c>
      <c r="F255" s="1">
        <v>219</v>
      </c>
      <c r="G255" s="24">
        <v>74.430000000000007</v>
      </c>
      <c r="H255" s="1" t="s">
        <v>4</v>
      </c>
      <c r="I255" s="1" t="s">
        <v>13</v>
      </c>
      <c r="J255" s="1" t="s">
        <v>18</v>
      </c>
      <c r="K255" s="1" t="s">
        <v>10</v>
      </c>
      <c r="L255" s="1" t="s">
        <v>120</v>
      </c>
    </row>
    <row r="256" spans="1:12" x14ac:dyDescent="0.25">
      <c r="A256" s="1" t="s">
        <v>152</v>
      </c>
      <c r="B256" s="1" t="s">
        <v>133</v>
      </c>
      <c r="C256" s="1">
        <v>1084</v>
      </c>
      <c r="D256" s="1">
        <v>34</v>
      </c>
      <c r="E256" s="1">
        <v>2</v>
      </c>
      <c r="F256" s="1">
        <v>72</v>
      </c>
      <c r="G256" s="24">
        <v>1459.64</v>
      </c>
      <c r="H256" s="1" t="s">
        <v>19</v>
      </c>
      <c r="I256" s="1" t="s">
        <v>13</v>
      </c>
      <c r="J256" s="1" t="s">
        <v>11</v>
      </c>
      <c r="K256" s="1" t="s">
        <v>7</v>
      </c>
      <c r="L256" s="1" t="s">
        <v>120</v>
      </c>
    </row>
    <row r="257" spans="1:12" x14ac:dyDescent="0.25">
      <c r="A257" s="1" t="s">
        <v>151</v>
      </c>
      <c r="B257" s="1" t="s">
        <v>133</v>
      </c>
      <c r="C257" s="1">
        <v>3175</v>
      </c>
      <c r="D257" s="1">
        <v>35</v>
      </c>
      <c r="E257" s="1">
        <v>12</v>
      </c>
      <c r="F257" s="1">
        <v>147</v>
      </c>
      <c r="G257" s="24">
        <v>555.87</v>
      </c>
      <c r="H257" s="1" t="s">
        <v>14</v>
      </c>
      <c r="I257" s="1" t="s">
        <v>13</v>
      </c>
      <c r="J257" s="1" t="s">
        <v>18</v>
      </c>
      <c r="K257" s="1" t="s">
        <v>7</v>
      </c>
      <c r="L257" s="1" t="s">
        <v>120</v>
      </c>
    </row>
    <row r="258" spans="1:12" x14ac:dyDescent="0.25">
      <c r="A258" s="1" t="s">
        <v>150</v>
      </c>
      <c r="B258" s="1" t="s">
        <v>133</v>
      </c>
      <c r="C258" s="1">
        <v>3475</v>
      </c>
      <c r="D258" s="1">
        <v>6</v>
      </c>
      <c r="E258" s="1">
        <v>38</v>
      </c>
      <c r="F258" s="1">
        <v>396</v>
      </c>
      <c r="G258" s="24">
        <v>150.94999999999999</v>
      </c>
      <c r="H258" s="1" t="s">
        <v>25</v>
      </c>
      <c r="I258" s="1" t="s">
        <v>3</v>
      </c>
      <c r="J258" s="1" t="s">
        <v>2</v>
      </c>
      <c r="K258" s="1" t="s">
        <v>7</v>
      </c>
      <c r="L258" s="1" t="s">
        <v>120</v>
      </c>
    </row>
    <row r="259" spans="1:12" x14ac:dyDescent="0.25">
      <c r="A259" s="1" t="s">
        <v>149</v>
      </c>
      <c r="B259" s="1" t="s">
        <v>133</v>
      </c>
      <c r="C259" s="1">
        <v>2787</v>
      </c>
      <c r="D259" s="1">
        <v>39</v>
      </c>
      <c r="E259" s="1">
        <v>-4</v>
      </c>
      <c r="F259" s="1">
        <v>257</v>
      </c>
      <c r="G259" s="24">
        <v>1519.76</v>
      </c>
      <c r="H259" s="1" t="s">
        <v>14</v>
      </c>
      <c r="I259" s="1" t="s">
        <v>3</v>
      </c>
      <c r="J259" s="1" t="s">
        <v>18</v>
      </c>
      <c r="K259" s="1" t="s">
        <v>1</v>
      </c>
      <c r="L259" s="1" t="s">
        <v>120</v>
      </c>
    </row>
    <row r="260" spans="1:12" x14ac:dyDescent="0.25">
      <c r="A260" s="1" t="s">
        <v>148</v>
      </c>
      <c r="B260" s="1" t="s">
        <v>133</v>
      </c>
      <c r="C260" s="1">
        <v>1376</v>
      </c>
      <c r="D260" s="1">
        <v>8</v>
      </c>
      <c r="E260" s="1">
        <v>0</v>
      </c>
      <c r="F260" s="1">
        <v>326</v>
      </c>
      <c r="G260" s="24">
        <v>1284.79</v>
      </c>
      <c r="H260" s="1" t="s">
        <v>14</v>
      </c>
      <c r="I260" s="1" t="s">
        <v>13</v>
      </c>
      <c r="J260" s="1" t="s">
        <v>11</v>
      </c>
      <c r="K260" s="1" t="s">
        <v>10</v>
      </c>
      <c r="L260" s="1" t="s">
        <v>120</v>
      </c>
    </row>
    <row r="261" spans="1:12" x14ac:dyDescent="0.25">
      <c r="A261" s="1" t="s">
        <v>147</v>
      </c>
      <c r="B261" s="1" t="s">
        <v>133</v>
      </c>
      <c r="C261" s="1">
        <v>3745</v>
      </c>
      <c r="D261" s="1">
        <v>8</v>
      </c>
      <c r="E261" s="1">
        <v>25</v>
      </c>
      <c r="F261" s="1">
        <v>392</v>
      </c>
      <c r="G261" s="24">
        <v>1215.96</v>
      </c>
      <c r="H261" s="1" t="s">
        <v>14</v>
      </c>
      <c r="I261" s="1" t="s">
        <v>13</v>
      </c>
      <c r="J261" s="1" t="s">
        <v>8</v>
      </c>
      <c r="K261" s="1" t="s">
        <v>7</v>
      </c>
      <c r="L261" s="1" t="s">
        <v>120</v>
      </c>
    </row>
    <row r="262" spans="1:12" x14ac:dyDescent="0.25">
      <c r="A262" s="1" t="s">
        <v>146</v>
      </c>
      <c r="B262" s="1" t="s">
        <v>133</v>
      </c>
      <c r="C262" s="1">
        <v>4266</v>
      </c>
      <c r="D262" s="1">
        <v>12</v>
      </c>
      <c r="E262" s="1">
        <v>16</v>
      </c>
      <c r="F262" s="1">
        <v>62</v>
      </c>
      <c r="G262" s="24">
        <v>1206.03</v>
      </c>
      <c r="H262" s="1" t="s">
        <v>19</v>
      </c>
      <c r="I262" s="1" t="s">
        <v>13</v>
      </c>
      <c r="J262" s="1" t="s">
        <v>8</v>
      </c>
      <c r="K262" s="1" t="s">
        <v>1</v>
      </c>
      <c r="L262" s="1" t="s">
        <v>120</v>
      </c>
    </row>
    <row r="263" spans="1:12" x14ac:dyDescent="0.25">
      <c r="A263" s="1" t="s">
        <v>145</v>
      </c>
      <c r="B263" s="1" t="s">
        <v>133</v>
      </c>
      <c r="C263" s="1">
        <v>1236</v>
      </c>
      <c r="D263" s="1">
        <v>35</v>
      </c>
      <c r="E263" s="1">
        <v>50</v>
      </c>
      <c r="F263" s="1">
        <v>406</v>
      </c>
      <c r="G263" s="24">
        <v>947.45</v>
      </c>
      <c r="H263" s="1" t="s">
        <v>14</v>
      </c>
      <c r="I263" s="1" t="s">
        <v>13</v>
      </c>
      <c r="J263" s="1" t="s">
        <v>2</v>
      </c>
      <c r="K263" s="1" t="s">
        <v>17</v>
      </c>
      <c r="L263" s="1" t="s">
        <v>120</v>
      </c>
    </row>
    <row r="264" spans="1:12" x14ac:dyDescent="0.25">
      <c r="A264" s="1" t="s">
        <v>144</v>
      </c>
      <c r="B264" s="1" t="s">
        <v>133</v>
      </c>
      <c r="C264" s="1">
        <v>3935</v>
      </c>
      <c r="D264" s="1">
        <v>25</v>
      </c>
      <c r="E264" s="1">
        <v>-3</v>
      </c>
      <c r="F264" s="1">
        <v>275</v>
      </c>
      <c r="G264" s="24">
        <v>1974.41</v>
      </c>
      <c r="H264" s="1" t="s">
        <v>12</v>
      </c>
      <c r="I264" s="1" t="s">
        <v>3</v>
      </c>
      <c r="J264" s="1" t="s">
        <v>18</v>
      </c>
      <c r="K264" s="1" t="s">
        <v>21</v>
      </c>
      <c r="L264" s="1" t="s">
        <v>120</v>
      </c>
    </row>
    <row r="265" spans="1:12" x14ac:dyDescent="0.25">
      <c r="A265" s="1" t="s">
        <v>143</v>
      </c>
      <c r="B265" s="1" t="s">
        <v>133</v>
      </c>
      <c r="C265" s="1">
        <v>2034</v>
      </c>
      <c r="D265" s="1">
        <v>5</v>
      </c>
      <c r="E265" s="1">
        <v>38</v>
      </c>
      <c r="F265" s="1">
        <v>167</v>
      </c>
      <c r="G265" s="24">
        <v>1384</v>
      </c>
      <c r="H265" s="1" t="s">
        <v>14</v>
      </c>
      <c r="I265" s="1" t="s">
        <v>13</v>
      </c>
      <c r="J265" s="1" t="s">
        <v>11</v>
      </c>
      <c r="K265" s="1" t="s">
        <v>7</v>
      </c>
      <c r="L265" s="1" t="s">
        <v>120</v>
      </c>
    </row>
    <row r="266" spans="1:12" x14ac:dyDescent="0.25">
      <c r="A266" s="1" t="s">
        <v>142</v>
      </c>
      <c r="B266" s="1" t="s">
        <v>133</v>
      </c>
      <c r="C266" s="1">
        <v>3902</v>
      </c>
      <c r="D266" s="1">
        <v>37</v>
      </c>
      <c r="E266" s="1">
        <v>28</v>
      </c>
      <c r="F266" s="1">
        <v>45</v>
      </c>
      <c r="G266" s="24">
        <v>334.75</v>
      </c>
      <c r="H266" s="1" t="s">
        <v>12</v>
      </c>
      <c r="I266" s="1" t="s">
        <v>13</v>
      </c>
      <c r="J266" s="1" t="s">
        <v>18</v>
      </c>
      <c r="K266" s="1" t="s">
        <v>7</v>
      </c>
      <c r="L266" s="1" t="s">
        <v>120</v>
      </c>
    </row>
    <row r="267" spans="1:12" x14ac:dyDescent="0.25">
      <c r="A267" s="1" t="s">
        <v>141</v>
      </c>
      <c r="B267" s="1" t="s">
        <v>133</v>
      </c>
      <c r="C267" s="1">
        <v>3550</v>
      </c>
      <c r="D267" s="1">
        <v>5</v>
      </c>
      <c r="E267" s="1">
        <v>13</v>
      </c>
      <c r="F267" s="1">
        <v>82</v>
      </c>
      <c r="G267" s="24">
        <v>1312.21</v>
      </c>
      <c r="H267" s="1" t="s">
        <v>12</v>
      </c>
      <c r="I267" s="1" t="s">
        <v>13</v>
      </c>
      <c r="J267" s="1" t="s">
        <v>18</v>
      </c>
      <c r="K267" s="1" t="s">
        <v>10</v>
      </c>
      <c r="L267" s="1" t="s">
        <v>120</v>
      </c>
    </row>
    <row r="268" spans="1:12" x14ac:dyDescent="0.25">
      <c r="A268" s="1" t="s">
        <v>140</v>
      </c>
      <c r="B268" s="1" t="s">
        <v>133</v>
      </c>
      <c r="C268" s="1">
        <v>1747</v>
      </c>
      <c r="D268" s="1">
        <v>36</v>
      </c>
      <c r="E268" s="1">
        <v>48</v>
      </c>
      <c r="F268" s="1">
        <v>219</v>
      </c>
      <c r="G268" s="24">
        <v>2018.79</v>
      </c>
      <c r="H268" s="1" t="s">
        <v>12</v>
      </c>
      <c r="I268" s="1" t="s">
        <v>3</v>
      </c>
      <c r="J268" s="1" t="s">
        <v>18</v>
      </c>
      <c r="K268" s="1" t="s">
        <v>7</v>
      </c>
      <c r="L268" s="1" t="s">
        <v>120</v>
      </c>
    </row>
    <row r="269" spans="1:12" x14ac:dyDescent="0.25">
      <c r="A269" s="1" t="s">
        <v>139</v>
      </c>
      <c r="B269" s="1" t="s">
        <v>133</v>
      </c>
      <c r="C269" s="1">
        <v>3709</v>
      </c>
      <c r="D269" s="1">
        <v>18</v>
      </c>
      <c r="E269" s="1">
        <v>9</v>
      </c>
      <c r="F269" s="1">
        <v>322</v>
      </c>
      <c r="G269" s="24">
        <v>964.17</v>
      </c>
      <c r="H269" s="1" t="s">
        <v>19</v>
      </c>
      <c r="I269" s="1" t="s">
        <v>13</v>
      </c>
      <c r="J269" s="1" t="s">
        <v>18</v>
      </c>
      <c r="K269" s="1" t="s">
        <v>10</v>
      </c>
      <c r="L269" s="1" t="s">
        <v>120</v>
      </c>
    </row>
    <row r="270" spans="1:12" x14ac:dyDescent="0.25">
      <c r="A270" s="1" t="s">
        <v>138</v>
      </c>
      <c r="B270" s="1" t="s">
        <v>133</v>
      </c>
      <c r="C270" s="1">
        <v>4399</v>
      </c>
      <c r="D270" s="1">
        <v>10</v>
      </c>
      <c r="E270" s="1">
        <v>10</v>
      </c>
      <c r="F270" s="1">
        <v>422</v>
      </c>
      <c r="G270" s="24">
        <v>2409.69</v>
      </c>
      <c r="H270" s="1" t="s">
        <v>25</v>
      </c>
      <c r="I270" s="1" t="s">
        <v>13</v>
      </c>
      <c r="J270" s="1" t="s">
        <v>18</v>
      </c>
      <c r="K270" s="1" t="s">
        <v>7</v>
      </c>
      <c r="L270" s="1" t="s">
        <v>120</v>
      </c>
    </row>
    <row r="271" spans="1:12" x14ac:dyDescent="0.25">
      <c r="A271" s="1" t="s">
        <v>137</v>
      </c>
      <c r="B271" s="1" t="s">
        <v>133</v>
      </c>
      <c r="C271" s="1">
        <v>3954</v>
      </c>
      <c r="D271" s="1">
        <v>15</v>
      </c>
      <c r="E271" s="1">
        <v>22</v>
      </c>
      <c r="F271" s="1">
        <v>194</v>
      </c>
      <c r="G271" s="24">
        <v>1869.83</v>
      </c>
      <c r="H271" s="1" t="s">
        <v>4</v>
      </c>
      <c r="I271" s="1" t="s">
        <v>3</v>
      </c>
      <c r="J271" s="1" t="s">
        <v>18</v>
      </c>
      <c r="K271" s="1" t="s">
        <v>21</v>
      </c>
      <c r="L271" s="1" t="s">
        <v>120</v>
      </c>
    </row>
    <row r="272" spans="1:12" x14ac:dyDescent="0.25">
      <c r="A272" s="1" t="s">
        <v>136</v>
      </c>
      <c r="B272" s="1" t="s">
        <v>133</v>
      </c>
      <c r="C272" s="1">
        <v>552</v>
      </c>
      <c r="D272" s="1">
        <v>16</v>
      </c>
      <c r="E272" s="1">
        <v>-2</v>
      </c>
      <c r="F272" s="1">
        <v>262</v>
      </c>
      <c r="G272" s="24">
        <v>1206.1400000000001</v>
      </c>
      <c r="H272" s="1" t="s">
        <v>19</v>
      </c>
      <c r="I272" s="1" t="s">
        <v>13</v>
      </c>
      <c r="J272" s="1" t="s">
        <v>18</v>
      </c>
      <c r="K272" s="1" t="s">
        <v>21</v>
      </c>
      <c r="L272" s="1" t="s">
        <v>120</v>
      </c>
    </row>
    <row r="273" spans="1:12" x14ac:dyDescent="0.25">
      <c r="A273" s="1" t="s">
        <v>135</v>
      </c>
      <c r="B273" s="1" t="s">
        <v>133</v>
      </c>
      <c r="C273" s="1">
        <v>4719</v>
      </c>
      <c r="D273" s="1">
        <v>33</v>
      </c>
      <c r="E273" s="1">
        <v>12</v>
      </c>
      <c r="F273" s="1">
        <v>127</v>
      </c>
      <c r="G273" s="24">
        <v>1241.55</v>
      </c>
      <c r="H273" s="1" t="s">
        <v>14</v>
      </c>
      <c r="I273" s="1" t="s">
        <v>3</v>
      </c>
      <c r="J273" s="1" t="s">
        <v>11</v>
      </c>
      <c r="K273" s="1" t="s">
        <v>7</v>
      </c>
      <c r="L273" s="1" t="s">
        <v>120</v>
      </c>
    </row>
    <row r="274" spans="1:12" x14ac:dyDescent="0.25">
      <c r="A274" s="1" t="s">
        <v>134</v>
      </c>
      <c r="B274" s="1" t="s">
        <v>133</v>
      </c>
      <c r="C274" s="1">
        <v>4154</v>
      </c>
      <c r="D274" s="1">
        <v>44</v>
      </c>
      <c r="E274" s="1">
        <v>-5</v>
      </c>
      <c r="F274" s="1">
        <v>399</v>
      </c>
      <c r="G274" s="24">
        <v>1922.51</v>
      </c>
      <c r="H274" s="1" t="s">
        <v>14</v>
      </c>
      <c r="I274" s="1" t="s">
        <v>13</v>
      </c>
      <c r="J274" s="1" t="s">
        <v>18</v>
      </c>
      <c r="K274" s="1" t="s">
        <v>7</v>
      </c>
      <c r="L274" s="1" t="s">
        <v>120</v>
      </c>
    </row>
    <row r="275" spans="1:12" x14ac:dyDescent="0.25">
      <c r="A275" s="1" t="s">
        <v>132</v>
      </c>
      <c r="B275" s="1" t="s">
        <v>100</v>
      </c>
      <c r="C275" s="1">
        <v>1129</v>
      </c>
      <c r="D275" s="1">
        <v>23</v>
      </c>
      <c r="E275" s="1">
        <v>34</v>
      </c>
      <c r="F275" s="1">
        <v>166</v>
      </c>
      <c r="G275" s="24">
        <v>2329.19</v>
      </c>
      <c r="H275" s="1" t="s">
        <v>19</v>
      </c>
      <c r="I275" s="1" t="s">
        <v>13</v>
      </c>
      <c r="J275" s="1" t="s">
        <v>18</v>
      </c>
      <c r="K275" s="1" t="s">
        <v>10</v>
      </c>
      <c r="L275" s="1" t="s">
        <v>120</v>
      </c>
    </row>
    <row r="276" spans="1:12" x14ac:dyDescent="0.25">
      <c r="A276" s="1" t="s">
        <v>131</v>
      </c>
      <c r="B276" s="1" t="s">
        <v>100</v>
      </c>
      <c r="C276" s="1">
        <v>1906</v>
      </c>
      <c r="D276" s="1">
        <v>40</v>
      </c>
      <c r="E276" s="1">
        <v>24</v>
      </c>
      <c r="F276" s="1">
        <v>174</v>
      </c>
      <c r="G276" s="24">
        <v>744.03</v>
      </c>
      <c r="H276" s="1" t="s">
        <v>12</v>
      </c>
      <c r="I276" s="1" t="s">
        <v>3</v>
      </c>
      <c r="J276" s="1" t="s">
        <v>18</v>
      </c>
      <c r="K276" s="1" t="s">
        <v>10</v>
      </c>
      <c r="L276" s="1" t="s">
        <v>120</v>
      </c>
    </row>
    <row r="277" spans="1:12" x14ac:dyDescent="0.25">
      <c r="A277" s="1" t="s">
        <v>130</v>
      </c>
      <c r="B277" s="1" t="s">
        <v>100</v>
      </c>
      <c r="C277" s="1">
        <v>3540</v>
      </c>
      <c r="D277" s="1">
        <v>42</v>
      </c>
      <c r="E277" s="1">
        <v>19</v>
      </c>
      <c r="F277" s="1">
        <v>70</v>
      </c>
      <c r="G277" s="24">
        <v>586.96</v>
      </c>
      <c r="H277" s="1" t="s">
        <v>25</v>
      </c>
      <c r="I277" s="1" t="s">
        <v>13</v>
      </c>
      <c r="J277" s="1" t="s">
        <v>18</v>
      </c>
      <c r="K277" s="1" t="s">
        <v>17</v>
      </c>
      <c r="L277" s="1" t="s">
        <v>120</v>
      </c>
    </row>
    <row r="278" spans="1:12" x14ac:dyDescent="0.25">
      <c r="A278" s="1" t="s">
        <v>129</v>
      </c>
      <c r="B278" s="1" t="s">
        <v>100</v>
      </c>
      <c r="C278" s="1">
        <v>4994</v>
      </c>
      <c r="D278" s="1">
        <v>6</v>
      </c>
      <c r="E278" s="1">
        <v>3</v>
      </c>
      <c r="F278" s="1">
        <v>146</v>
      </c>
      <c r="G278" s="24">
        <v>681.4</v>
      </c>
      <c r="H278" s="1" t="s">
        <v>4</v>
      </c>
      <c r="I278" s="1" t="s">
        <v>13</v>
      </c>
      <c r="J278" s="1" t="s">
        <v>18</v>
      </c>
      <c r="K278" s="1" t="s">
        <v>10</v>
      </c>
      <c r="L278" s="1" t="s">
        <v>120</v>
      </c>
    </row>
    <row r="279" spans="1:12" x14ac:dyDescent="0.25">
      <c r="A279" s="1" t="s">
        <v>128</v>
      </c>
      <c r="B279" s="1" t="s">
        <v>100</v>
      </c>
      <c r="C279" s="1">
        <v>756</v>
      </c>
      <c r="D279" s="1">
        <v>41</v>
      </c>
      <c r="E279" s="1">
        <v>34</v>
      </c>
      <c r="F279" s="1">
        <v>390</v>
      </c>
      <c r="G279" s="24">
        <v>1356.42</v>
      </c>
      <c r="H279" s="1" t="s">
        <v>12</v>
      </c>
      <c r="I279" s="1" t="s">
        <v>13</v>
      </c>
      <c r="J279" s="1" t="s">
        <v>18</v>
      </c>
      <c r="K279" s="1" t="s">
        <v>7</v>
      </c>
      <c r="L279" s="1" t="s">
        <v>120</v>
      </c>
    </row>
    <row r="280" spans="1:12" x14ac:dyDescent="0.25">
      <c r="A280" s="1" t="s">
        <v>127</v>
      </c>
      <c r="B280" s="1" t="s">
        <v>100</v>
      </c>
      <c r="C280" s="1">
        <v>2118</v>
      </c>
      <c r="D280" s="1">
        <v>32</v>
      </c>
      <c r="E280" s="1">
        <v>6</v>
      </c>
      <c r="F280" s="1">
        <v>52</v>
      </c>
      <c r="G280" s="24">
        <v>1293.47</v>
      </c>
      <c r="H280" s="1" t="s">
        <v>12</v>
      </c>
      <c r="I280" s="1" t="s">
        <v>13</v>
      </c>
      <c r="J280" s="1" t="s">
        <v>8</v>
      </c>
      <c r="K280" s="1" t="s">
        <v>7</v>
      </c>
      <c r="L280" s="1" t="s">
        <v>120</v>
      </c>
    </row>
    <row r="281" spans="1:12" x14ac:dyDescent="0.25">
      <c r="A281" s="1" t="s">
        <v>126</v>
      </c>
      <c r="B281" s="1" t="s">
        <v>100</v>
      </c>
      <c r="C281" s="1">
        <v>4875</v>
      </c>
      <c r="D281" s="1">
        <v>25</v>
      </c>
      <c r="E281" s="1">
        <v>10</v>
      </c>
      <c r="F281" s="1">
        <v>443</v>
      </c>
      <c r="G281" s="24">
        <v>967.26</v>
      </c>
      <c r="H281" s="1" t="s">
        <v>4</v>
      </c>
      <c r="I281" s="1" t="s">
        <v>13</v>
      </c>
      <c r="J281" s="1" t="s">
        <v>11</v>
      </c>
      <c r="K281" s="1" t="s">
        <v>10</v>
      </c>
      <c r="L281" s="1" t="s">
        <v>120</v>
      </c>
    </row>
    <row r="282" spans="1:12" x14ac:dyDescent="0.25">
      <c r="A282" s="1" t="s">
        <v>125</v>
      </c>
      <c r="B282" s="1" t="s">
        <v>100</v>
      </c>
      <c r="C282" s="1">
        <v>3643</v>
      </c>
      <c r="D282" s="1">
        <v>39</v>
      </c>
      <c r="E282" s="1">
        <v>9</v>
      </c>
      <c r="F282" s="1">
        <v>88</v>
      </c>
      <c r="G282" s="24">
        <v>1786.27</v>
      </c>
      <c r="H282" s="1" t="s">
        <v>14</v>
      </c>
      <c r="I282" s="1" t="s">
        <v>3</v>
      </c>
      <c r="J282" s="1" t="s">
        <v>11</v>
      </c>
      <c r="K282" s="1" t="s">
        <v>17</v>
      </c>
      <c r="L282" s="1" t="s">
        <v>120</v>
      </c>
    </row>
    <row r="283" spans="1:12" x14ac:dyDescent="0.25">
      <c r="A283" s="1" t="s">
        <v>124</v>
      </c>
      <c r="B283" s="1" t="s">
        <v>100</v>
      </c>
      <c r="C283" s="1">
        <v>2615</v>
      </c>
      <c r="D283" s="1">
        <v>19</v>
      </c>
      <c r="E283" s="1">
        <v>22</v>
      </c>
      <c r="F283" s="1">
        <v>209</v>
      </c>
      <c r="G283" s="24">
        <v>1747.24</v>
      </c>
      <c r="H283" s="1" t="s">
        <v>19</v>
      </c>
      <c r="I283" s="1" t="s">
        <v>13</v>
      </c>
      <c r="J283" s="1" t="s">
        <v>18</v>
      </c>
      <c r="K283" s="1" t="s">
        <v>7</v>
      </c>
      <c r="L283" s="1" t="s">
        <v>120</v>
      </c>
    </row>
    <row r="284" spans="1:12" x14ac:dyDescent="0.25">
      <c r="A284" s="1" t="s">
        <v>123</v>
      </c>
      <c r="B284" s="1" t="s">
        <v>100</v>
      </c>
      <c r="C284" s="1">
        <v>1379</v>
      </c>
      <c r="D284" s="1">
        <v>42</v>
      </c>
      <c r="E284" s="1">
        <v>30</v>
      </c>
      <c r="F284" s="1">
        <v>106</v>
      </c>
      <c r="G284" s="24">
        <v>2097.5500000000002</v>
      </c>
      <c r="H284" s="1" t="s">
        <v>19</v>
      </c>
      <c r="I284" s="1" t="s">
        <v>13</v>
      </c>
      <c r="J284" s="1" t="s">
        <v>18</v>
      </c>
      <c r="K284" s="1" t="s">
        <v>7</v>
      </c>
      <c r="L284" s="1" t="s">
        <v>120</v>
      </c>
    </row>
    <row r="285" spans="1:12" x14ac:dyDescent="0.25">
      <c r="A285" s="1" t="s">
        <v>122</v>
      </c>
      <c r="B285" s="1" t="s">
        <v>100</v>
      </c>
      <c r="C285" s="1">
        <v>970</v>
      </c>
      <c r="D285" s="1">
        <v>27</v>
      </c>
      <c r="E285" s="1">
        <v>20</v>
      </c>
      <c r="F285" s="1">
        <v>151</v>
      </c>
      <c r="G285" s="24">
        <v>726.91</v>
      </c>
      <c r="H285" s="1" t="s">
        <v>14</v>
      </c>
      <c r="I285" s="1" t="s">
        <v>13</v>
      </c>
      <c r="J285" s="1" t="s">
        <v>11</v>
      </c>
      <c r="K285" s="1" t="s">
        <v>10</v>
      </c>
      <c r="L285" s="1" t="s">
        <v>120</v>
      </c>
    </row>
    <row r="286" spans="1:12" x14ac:dyDescent="0.25">
      <c r="A286" s="1" t="s">
        <v>121</v>
      </c>
      <c r="B286" s="1" t="s">
        <v>100</v>
      </c>
      <c r="C286" s="1">
        <v>3605</v>
      </c>
      <c r="D286" s="1">
        <v>32</v>
      </c>
      <c r="E286" s="1">
        <v>25</v>
      </c>
      <c r="F286" s="1">
        <v>134</v>
      </c>
      <c r="G286" s="24">
        <v>393.3</v>
      </c>
      <c r="H286" s="1" t="s">
        <v>12</v>
      </c>
      <c r="I286" s="1" t="s">
        <v>13</v>
      </c>
      <c r="J286" s="1" t="s">
        <v>18</v>
      </c>
      <c r="K286" s="1" t="s">
        <v>7</v>
      </c>
      <c r="L286" s="1" t="s">
        <v>120</v>
      </c>
    </row>
    <row r="287" spans="1:12" x14ac:dyDescent="0.25">
      <c r="A287" s="1" t="s">
        <v>119</v>
      </c>
      <c r="B287" s="1" t="s">
        <v>100</v>
      </c>
      <c r="C287" s="1">
        <v>3271</v>
      </c>
      <c r="D287" s="1">
        <v>36</v>
      </c>
      <c r="E287" s="1">
        <v>1</v>
      </c>
      <c r="F287" s="1">
        <v>51</v>
      </c>
      <c r="G287" s="24">
        <v>574.54</v>
      </c>
      <c r="H287" s="1" t="s">
        <v>14</v>
      </c>
      <c r="I287" s="1" t="s">
        <v>13</v>
      </c>
      <c r="J287" s="1" t="s">
        <v>18</v>
      </c>
      <c r="K287" s="1" t="s">
        <v>21</v>
      </c>
      <c r="L287" s="1" t="s">
        <v>83</v>
      </c>
    </row>
    <row r="288" spans="1:12" x14ac:dyDescent="0.25">
      <c r="A288" s="1" t="s">
        <v>118</v>
      </c>
      <c r="B288" s="1" t="s">
        <v>100</v>
      </c>
      <c r="C288" s="1">
        <v>648</v>
      </c>
      <c r="D288" s="1">
        <v>33</v>
      </c>
      <c r="E288" s="1">
        <v>34</v>
      </c>
      <c r="F288" s="1">
        <v>260</v>
      </c>
      <c r="G288" s="24">
        <v>292.45999999999998</v>
      </c>
      <c r="H288" s="1" t="s">
        <v>4</v>
      </c>
      <c r="I288" s="1" t="s">
        <v>13</v>
      </c>
      <c r="J288" s="1" t="s">
        <v>2</v>
      </c>
      <c r="K288" s="1" t="s">
        <v>1</v>
      </c>
      <c r="L288" s="1" t="s">
        <v>83</v>
      </c>
    </row>
    <row r="289" spans="1:12" x14ac:dyDescent="0.25">
      <c r="A289" s="1" t="s">
        <v>117</v>
      </c>
      <c r="B289" s="1" t="s">
        <v>100</v>
      </c>
      <c r="C289" s="1">
        <v>4263</v>
      </c>
      <c r="D289" s="1">
        <v>34</v>
      </c>
      <c r="E289" s="1">
        <v>40</v>
      </c>
      <c r="F289" s="1">
        <v>336</v>
      </c>
      <c r="G289" s="24">
        <v>1140.1199999999999</v>
      </c>
      <c r="H289" s="1" t="s">
        <v>12</v>
      </c>
      <c r="I289" s="1" t="s">
        <v>3</v>
      </c>
      <c r="J289" s="1" t="s">
        <v>18</v>
      </c>
      <c r="K289" s="1" t="s">
        <v>7</v>
      </c>
      <c r="L289" s="1" t="s">
        <v>83</v>
      </c>
    </row>
    <row r="290" spans="1:12" x14ac:dyDescent="0.25">
      <c r="A290" s="1" t="s">
        <v>116</v>
      </c>
      <c r="B290" s="1" t="s">
        <v>100</v>
      </c>
      <c r="C290" s="1">
        <v>4046</v>
      </c>
      <c r="D290" s="1">
        <v>27</v>
      </c>
      <c r="E290" s="1">
        <v>43</v>
      </c>
      <c r="F290" s="1">
        <v>42</v>
      </c>
      <c r="G290" s="24">
        <v>300.2</v>
      </c>
      <c r="H290" s="1" t="s">
        <v>4</v>
      </c>
      <c r="I290" s="1" t="s">
        <v>13</v>
      </c>
      <c r="J290" s="1" t="s">
        <v>11</v>
      </c>
      <c r="K290" s="1" t="s">
        <v>1</v>
      </c>
      <c r="L290" s="1" t="s">
        <v>83</v>
      </c>
    </row>
    <row r="291" spans="1:12" x14ac:dyDescent="0.25">
      <c r="A291" s="1" t="s">
        <v>115</v>
      </c>
      <c r="B291" s="1" t="s">
        <v>100</v>
      </c>
      <c r="C291" s="1">
        <v>4175</v>
      </c>
      <c r="D291" s="1">
        <v>40</v>
      </c>
      <c r="E291" s="1">
        <v>25</v>
      </c>
      <c r="F291" s="1">
        <v>353</v>
      </c>
      <c r="G291" s="24">
        <v>261.92</v>
      </c>
      <c r="H291" s="1" t="s">
        <v>14</v>
      </c>
      <c r="I291" s="1" t="s">
        <v>13</v>
      </c>
      <c r="J291" s="1" t="s">
        <v>18</v>
      </c>
      <c r="K291" s="1" t="s">
        <v>7</v>
      </c>
      <c r="L291" s="1" t="s">
        <v>83</v>
      </c>
    </row>
    <row r="292" spans="1:12" x14ac:dyDescent="0.25">
      <c r="A292" s="1" t="s">
        <v>114</v>
      </c>
      <c r="B292" s="1" t="s">
        <v>100</v>
      </c>
      <c r="C292" s="1">
        <v>3392</v>
      </c>
      <c r="D292" s="1">
        <v>44</v>
      </c>
      <c r="E292" s="1">
        <v>38</v>
      </c>
      <c r="F292" s="1">
        <v>414</v>
      </c>
      <c r="G292" s="24">
        <v>2182.12</v>
      </c>
      <c r="H292" s="1" t="s">
        <v>12</v>
      </c>
      <c r="I292" s="1" t="s">
        <v>13</v>
      </c>
      <c r="J292" s="1" t="s">
        <v>18</v>
      </c>
      <c r="K292" s="1" t="s">
        <v>17</v>
      </c>
      <c r="L292" s="1" t="s">
        <v>83</v>
      </c>
    </row>
    <row r="293" spans="1:12" x14ac:dyDescent="0.25">
      <c r="A293" s="1" t="s">
        <v>113</v>
      </c>
      <c r="B293" s="1" t="s">
        <v>100</v>
      </c>
      <c r="C293" s="1">
        <v>3459</v>
      </c>
      <c r="D293" s="1">
        <v>37</v>
      </c>
      <c r="E293" s="1">
        <v>34</v>
      </c>
      <c r="F293" s="1">
        <v>101</v>
      </c>
      <c r="G293" s="24">
        <v>2092.58</v>
      </c>
      <c r="H293" s="1" t="s">
        <v>19</v>
      </c>
      <c r="I293" s="1" t="s">
        <v>13</v>
      </c>
      <c r="J293" s="1" t="s">
        <v>18</v>
      </c>
      <c r="K293" s="1" t="s">
        <v>17</v>
      </c>
      <c r="L293" s="1" t="s">
        <v>83</v>
      </c>
    </row>
    <row r="294" spans="1:12" x14ac:dyDescent="0.25">
      <c r="A294" s="1" t="s">
        <v>112</v>
      </c>
      <c r="B294" s="1" t="s">
        <v>100</v>
      </c>
      <c r="C294" s="1">
        <v>676</v>
      </c>
      <c r="D294" s="1">
        <v>26</v>
      </c>
      <c r="E294" s="1">
        <v>31</v>
      </c>
      <c r="F294" s="1">
        <v>359</v>
      </c>
      <c r="G294" s="24">
        <v>607.63</v>
      </c>
      <c r="H294" s="1" t="s">
        <v>19</v>
      </c>
      <c r="I294" s="1" t="s">
        <v>13</v>
      </c>
      <c r="J294" s="1" t="s">
        <v>11</v>
      </c>
      <c r="K294" s="1" t="s">
        <v>1</v>
      </c>
      <c r="L294" s="1" t="s">
        <v>83</v>
      </c>
    </row>
    <row r="295" spans="1:12" x14ac:dyDescent="0.25">
      <c r="A295" s="1" t="s">
        <v>111</v>
      </c>
      <c r="B295" s="1" t="s">
        <v>100</v>
      </c>
      <c r="C295" s="1">
        <v>1519</v>
      </c>
      <c r="D295" s="1">
        <v>19</v>
      </c>
      <c r="E295" s="1">
        <v>34</v>
      </c>
      <c r="F295" s="1">
        <v>352</v>
      </c>
      <c r="G295" s="24">
        <v>974.67</v>
      </c>
      <c r="H295" s="1" t="s">
        <v>12</v>
      </c>
      <c r="I295" s="1" t="s">
        <v>13</v>
      </c>
      <c r="J295" s="1" t="s">
        <v>11</v>
      </c>
      <c r="K295" s="1" t="s">
        <v>17</v>
      </c>
      <c r="L295" s="1" t="s">
        <v>83</v>
      </c>
    </row>
    <row r="296" spans="1:12" x14ac:dyDescent="0.25">
      <c r="A296" s="1" t="s">
        <v>110</v>
      </c>
      <c r="B296" s="1" t="s">
        <v>100</v>
      </c>
      <c r="C296" s="1">
        <v>3684</v>
      </c>
      <c r="D296" s="1">
        <v>18</v>
      </c>
      <c r="E296" s="1">
        <v>18</v>
      </c>
      <c r="F296" s="1">
        <v>186</v>
      </c>
      <c r="G296" s="24">
        <v>1688.36</v>
      </c>
      <c r="H296" s="1" t="s">
        <v>14</v>
      </c>
      <c r="I296" s="1" t="s">
        <v>13</v>
      </c>
      <c r="J296" s="1" t="s">
        <v>18</v>
      </c>
      <c r="K296" s="1" t="s">
        <v>10</v>
      </c>
      <c r="L296" s="1" t="s">
        <v>83</v>
      </c>
    </row>
    <row r="297" spans="1:12" x14ac:dyDescent="0.25">
      <c r="A297" s="1" t="s">
        <v>109</v>
      </c>
      <c r="B297" s="1" t="s">
        <v>100</v>
      </c>
      <c r="C297" s="1">
        <v>3956</v>
      </c>
      <c r="D297" s="1">
        <v>14</v>
      </c>
      <c r="E297" s="1">
        <v>42</v>
      </c>
      <c r="F297" s="1">
        <v>217</v>
      </c>
      <c r="G297" s="24">
        <v>1352.74</v>
      </c>
      <c r="H297" s="1" t="s">
        <v>14</v>
      </c>
      <c r="I297" s="1" t="s">
        <v>13</v>
      </c>
      <c r="J297" s="1" t="s">
        <v>18</v>
      </c>
      <c r="K297" s="1" t="s">
        <v>10</v>
      </c>
      <c r="L297" s="1" t="s">
        <v>83</v>
      </c>
    </row>
    <row r="298" spans="1:12" x14ac:dyDescent="0.25">
      <c r="A298" s="1" t="s">
        <v>108</v>
      </c>
      <c r="B298" s="1" t="s">
        <v>100</v>
      </c>
      <c r="C298" s="1">
        <v>1664</v>
      </c>
      <c r="D298" s="1">
        <v>26</v>
      </c>
      <c r="E298" s="1">
        <v>-3</v>
      </c>
      <c r="F298" s="1">
        <v>449</v>
      </c>
      <c r="G298" s="24">
        <v>1388.01</v>
      </c>
      <c r="H298" s="1" t="s">
        <v>12</v>
      </c>
      <c r="I298" s="1" t="s">
        <v>3</v>
      </c>
      <c r="J298" s="1" t="s">
        <v>18</v>
      </c>
      <c r="K298" s="1" t="s">
        <v>10</v>
      </c>
      <c r="L298" s="1" t="s">
        <v>83</v>
      </c>
    </row>
    <row r="299" spans="1:12" x14ac:dyDescent="0.25">
      <c r="A299" s="1" t="s">
        <v>107</v>
      </c>
      <c r="B299" s="1" t="s">
        <v>100</v>
      </c>
      <c r="C299" s="1">
        <v>1731</v>
      </c>
      <c r="D299" s="1">
        <v>28</v>
      </c>
      <c r="E299" s="1">
        <v>40</v>
      </c>
      <c r="F299" s="1">
        <v>85</v>
      </c>
      <c r="G299" s="24">
        <v>2238.3200000000002</v>
      </c>
      <c r="H299" s="1" t="s">
        <v>12</v>
      </c>
      <c r="I299" s="1" t="s">
        <v>13</v>
      </c>
      <c r="J299" s="1" t="s">
        <v>18</v>
      </c>
      <c r="K299" s="1" t="s">
        <v>7</v>
      </c>
      <c r="L299" s="1" t="s">
        <v>83</v>
      </c>
    </row>
    <row r="300" spans="1:12" x14ac:dyDescent="0.25">
      <c r="A300" s="1" t="s">
        <v>106</v>
      </c>
      <c r="B300" s="1" t="s">
        <v>100</v>
      </c>
      <c r="C300" s="1">
        <v>1685</v>
      </c>
      <c r="D300" s="1">
        <v>38</v>
      </c>
      <c r="E300" s="1">
        <v>44</v>
      </c>
      <c r="F300" s="1">
        <v>187</v>
      </c>
      <c r="G300" s="24">
        <v>648.15</v>
      </c>
      <c r="H300" s="1" t="s">
        <v>12</v>
      </c>
      <c r="I300" s="1" t="s">
        <v>13</v>
      </c>
      <c r="J300" s="1" t="s">
        <v>18</v>
      </c>
      <c r="K300" s="1" t="s">
        <v>1</v>
      </c>
      <c r="L300" s="1" t="s">
        <v>83</v>
      </c>
    </row>
    <row r="301" spans="1:12" x14ac:dyDescent="0.25">
      <c r="A301" s="1" t="s">
        <v>105</v>
      </c>
      <c r="B301" s="1" t="s">
        <v>100</v>
      </c>
      <c r="C301" s="1">
        <v>1452</v>
      </c>
      <c r="D301" s="1">
        <v>30</v>
      </c>
      <c r="E301" s="1">
        <v>1</v>
      </c>
      <c r="F301" s="1">
        <v>99</v>
      </c>
      <c r="G301" s="24">
        <v>1521.94</v>
      </c>
      <c r="H301" s="1" t="s">
        <v>14</v>
      </c>
      <c r="I301" s="1" t="s">
        <v>3</v>
      </c>
      <c r="J301" s="1" t="s">
        <v>18</v>
      </c>
      <c r="K301" s="1" t="s">
        <v>7</v>
      </c>
      <c r="L301" s="1" t="s">
        <v>83</v>
      </c>
    </row>
    <row r="302" spans="1:12" x14ac:dyDescent="0.25">
      <c r="A302" s="1" t="s">
        <v>104</v>
      </c>
      <c r="B302" s="1" t="s">
        <v>100</v>
      </c>
      <c r="C302" s="1">
        <v>4124</v>
      </c>
      <c r="D302" s="1">
        <v>29</v>
      </c>
      <c r="E302" s="1">
        <v>49</v>
      </c>
      <c r="F302" s="1">
        <v>228</v>
      </c>
      <c r="G302" s="24">
        <v>1557.66</v>
      </c>
      <c r="H302" s="1" t="s">
        <v>29</v>
      </c>
      <c r="I302" s="1" t="s">
        <v>13</v>
      </c>
      <c r="J302" s="1" t="s">
        <v>2</v>
      </c>
      <c r="K302" s="1" t="s">
        <v>10</v>
      </c>
      <c r="L302" s="1" t="s">
        <v>83</v>
      </c>
    </row>
    <row r="303" spans="1:12" x14ac:dyDescent="0.25">
      <c r="A303" s="1" t="s">
        <v>103</v>
      </c>
      <c r="B303" s="1" t="s">
        <v>100</v>
      </c>
      <c r="C303" s="1">
        <v>4908</v>
      </c>
      <c r="D303" s="1">
        <v>17</v>
      </c>
      <c r="E303" s="1">
        <v>40</v>
      </c>
      <c r="F303" s="1">
        <v>134</v>
      </c>
      <c r="G303" s="24">
        <v>80.69</v>
      </c>
      <c r="H303" s="1" t="s">
        <v>12</v>
      </c>
      <c r="I303" s="1" t="s">
        <v>3</v>
      </c>
      <c r="J303" s="1" t="s">
        <v>18</v>
      </c>
      <c r="K303" s="1" t="s">
        <v>7</v>
      </c>
      <c r="L303" s="1" t="s">
        <v>83</v>
      </c>
    </row>
    <row r="304" spans="1:12" x14ac:dyDescent="0.25">
      <c r="A304" s="1" t="s">
        <v>102</v>
      </c>
      <c r="B304" s="1" t="s">
        <v>100</v>
      </c>
      <c r="C304" s="1">
        <v>4578</v>
      </c>
      <c r="D304" s="1">
        <v>42</v>
      </c>
      <c r="E304" s="1">
        <v>8</v>
      </c>
      <c r="F304" s="1">
        <v>37</v>
      </c>
      <c r="G304" s="24">
        <v>2309.29</v>
      </c>
      <c r="H304" s="1" t="s">
        <v>12</v>
      </c>
      <c r="I304" s="1" t="s">
        <v>13</v>
      </c>
      <c r="J304" s="1" t="s">
        <v>18</v>
      </c>
      <c r="K304" s="1" t="s">
        <v>7</v>
      </c>
      <c r="L304" s="1" t="s">
        <v>83</v>
      </c>
    </row>
    <row r="305" spans="1:12" x14ac:dyDescent="0.25">
      <c r="A305" s="1" t="s">
        <v>101</v>
      </c>
      <c r="B305" s="1" t="s">
        <v>100</v>
      </c>
      <c r="C305" s="1">
        <v>3709</v>
      </c>
      <c r="D305" s="1">
        <v>37</v>
      </c>
      <c r="E305" s="1">
        <v>28</v>
      </c>
      <c r="F305" s="1">
        <v>328</v>
      </c>
      <c r="G305" s="24">
        <v>715.95</v>
      </c>
      <c r="H305" s="1" t="s">
        <v>14</v>
      </c>
      <c r="I305" s="1" t="s">
        <v>3</v>
      </c>
      <c r="J305" s="1" t="s">
        <v>18</v>
      </c>
      <c r="K305" s="1" t="s">
        <v>10</v>
      </c>
      <c r="L305" s="1" t="s">
        <v>83</v>
      </c>
    </row>
    <row r="306" spans="1:12" x14ac:dyDescent="0.25">
      <c r="A306" s="1" t="s">
        <v>99</v>
      </c>
      <c r="B306" s="1" t="s">
        <v>68</v>
      </c>
      <c r="C306" s="1">
        <v>1828</v>
      </c>
      <c r="D306" s="1">
        <v>28</v>
      </c>
      <c r="E306" s="1">
        <v>25</v>
      </c>
      <c r="F306" s="1">
        <v>243</v>
      </c>
      <c r="G306" s="24">
        <v>1218.3499999999999</v>
      </c>
      <c r="H306" s="1" t="s">
        <v>14</v>
      </c>
      <c r="I306" s="1" t="s">
        <v>3</v>
      </c>
      <c r="J306" s="1" t="s">
        <v>18</v>
      </c>
      <c r="K306" s="1" t="s">
        <v>7</v>
      </c>
      <c r="L306" s="1" t="s">
        <v>83</v>
      </c>
    </row>
    <row r="307" spans="1:12" x14ac:dyDescent="0.25">
      <c r="A307" s="1" t="s">
        <v>98</v>
      </c>
      <c r="B307" s="1" t="s">
        <v>68</v>
      </c>
      <c r="C307" s="1">
        <v>2822</v>
      </c>
      <c r="D307" s="1">
        <v>8</v>
      </c>
      <c r="E307" s="1">
        <v>38</v>
      </c>
      <c r="F307" s="1">
        <v>223</v>
      </c>
      <c r="G307" s="24">
        <v>552.84</v>
      </c>
      <c r="H307" s="1" t="s">
        <v>4</v>
      </c>
      <c r="I307" s="1" t="s">
        <v>13</v>
      </c>
      <c r="J307" s="1" t="s">
        <v>18</v>
      </c>
      <c r="K307" s="1" t="s">
        <v>10</v>
      </c>
      <c r="L307" s="1" t="s">
        <v>83</v>
      </c>
    </row>
    <row r="308" spans="1:12" x14ac:dyDescent="0.25">
      <c r="A308" s="1" t="s">
        <v>97</v>
      </c>
      <c r="B308" s="1" t="s">
        <v>68</v>
      </c>
      <c r="C308" s="1">
        <v>931</v>
      </c>
      <c r="D308" s="1">
        <v>24</v>
      </c>
      <c r="E308" s="1">
        <v>40</v>
      </c>
      <c r="F308" s="1">
        <v>218</v>
      </c>
      <c r="G308" s="24">
        <v>813.77</v>
      </c>
      <c r="H308" s="1" t="s">
        <v>19</v>
      </c>
      <c r="I308" s="1" t="s">
        <v>3</v>
      </c>
      <c r="J308" s="1" t="s">
        <v>18</v>
      </c>
      <c r="K308" s="1" t="s">
        <v>10</v>
      </c>
      <c r="L308" s="1" t="s">
        <v>83</v>
      </c>
    </row>
    <row r="309" spans="1:12" x14ac:dyDescent="0.25">
      <c r="A309" s="1" t="s">
        <v>96</v>
      </c>
      <c r="B309" s="1" t="s">
        <v>68</v>
      </c>
      <c r="C309" s="1">
        <v>4016</v>
      </c>
      <c r="D309" s="1">
        <v>3</v>
      </c>
      <c r="E309" s="1">
        <v>10</v>
      </c>
      <c r="F309" s="1">
        <v>49</v>
      </c>
      <c r="G309" s="24">
        <v>2192.9</v>
      </c>
      <c r="H309" s="1" t="s">
        <v>14</v>
      </c>
      <c r="I309" s="1" t="s">
        <v>13</v>
      </c>
      <c r="J309" s="1" t="s">
        <v>11</v>
      </c>
      <c r="K309" s="1" t="s">
        <v>10</v>
      </c>
      <c r="L309" s="1" t="s">
        <v>83</v>
      </c>
    </row>
    <row r="310" spans="1:12" x14ac:dyDescent="0.25">
      <c r="A310" s="1" t="s">
        <v>95</v>
      </c>
      <c r="B310" s="1" t="s">
        <v>68</v>
      </c>
      <c r="C310" s="1">
        <v>1139</v>
      </c>
      <c r="D310" s="1">
        <v>9</v>
      </c>
      <c r="E310" s="1">
        <v>36</v>
      </c>
      <c r="F310" s="1">
        <v>250</v>
      </c>
      <c r="G310" s="24">
        <v>1842.34</v>
      </c>
      <c r="H310" s="1" t="s">
        <v>25</v>
      </c>
      <c r="I310" s="1" t="s">
        <v>13</v>
      </c>
      <c r="J310" s="1" t="s">
        <v>18</v>
      </c>
      <c r="K310" s="1" t="s">
        <v>10</v>
      </c>
      <c r="L310" s="1" t="s">
        <v>83</v>
      </c>
    </row>
    <row r="311" spans="1:12" x14ac:dyDescent="0.25">
      <c r="A311" s="1" t="s">
        <v>94</v>
      </c>
      <c r="B311" s="1" t="s">
        <v>68</v>
      </c>
      <c r="C311" s="1">
        <v>2730</v>
      </c>
      <c r="D311" s="1">
        <v>23</v>
      </c>
      <c r="E311" s="1">
        <v>28</v>
      </c>
      <c r="F311" s="1">
        <v>153</v>
      </c>
      <c r="G311" s="24">
        <v>795.37</v>
      </c>
      <c r="H311" s="1" t="s">
        <v>14</v>
      </c>
      <c r="I311" s="1" t="s">
        <v>13</v>
      </c>
      <c r="J311" s="1" t="s">
        <v>18</v>
      </c>
      <c r="K311" s="1" t="s">
        <v>21</v>
      </c>
      <c r="L311" s="1" t="s">
        <v>83</v>
      </c>
    </row>
    <row r="312" spans="1:12" x14ac:dyDescent="0.25">
      <c r="A312" s="1" t="s">
        <v>93</v>
      </c>
      <c r="B312" s="1" t="s">
        <v>68</v>
      </c>
      <c r="C312" s="1">
        <v>2025</v>
      </c>
      <c r="D312" s="1">
        <v>9</v>
      </c>
      <c r="E312" s="1">
        <v>22</v>
      </c>
      <c r="F312" s="1">
        <v>84</v>
      </c>
      <c r="G312" s="24">
        <v>1660.39</v>
      </c>
      <c r="H312" s="1" t="s">
        <v>4</v>
      </c>
      <c r="I312" s="1" t="s">
        <v>13</v>
      </c>
      <c r="J312" s="1" t="s">
        <v>18</v>
      </c>
      <c r="K312" s="1" t="s">
        <v>21</v>
      </c>
      <c r="L312" s="1" t="s">
        <v>83</v>
      </c>
    </row>
    <row r="313" spans="1:12" x14ac:dyDescent="0.25">
      <c r="A313" s="1" t="s">
        <v>92</v>
      </c>
      <c r="B313" s="1" t="s">
        <v>68</v>
      </c>
      <c r="C313" s="1">
        <v>2166</v>
      </c>
      <c r="D313" s="1">
        <v>27</v>
      </c>
      <c r="E313" s="1">
        <v>29</v>
      </c>
      <c r="F313" s="1">
        <v>397</v>
      </c>
      <c r="G313" s="24">
        <v>28.07</v>
      </c>
      <c r="H313" s="1" t="s">
        <v>12</v>
      </c>
      <c r="I313" s="1" t="s">
        <v>13</v>
      </c>
      <c r="J313" s="1" t="s">
        <v>18</v>
      </c>
      <c r="K313" s="1" t="s">
        <v>10</v>
      </c>
      <c r="L313" s="1" t="s">
        <v>83</v>
      </c>
    </row>
    <row r="314" spans="1:12" x14ac:dyDescent="0.25">
      <c r="A314" s="1" t="s">
        <v>91</v>
      </c>
      <c r="B314" s="1" t="s">
        <v>68</v>
      </c>
      <c r="C314" s="1">
        <v>2749</v>
      </c>
      <c r="D314" s="1">
        <v>15</v>
      </c>
      <c r="E314" s="1">
        <v>32</v>
      </c>
      <c r="F314" s="1">
        <v>362</v>
      </c>
      <c r="G314" s="24">
        <v>2213.46</v>
      </c>
      <c r="H314" s="1" t="s">
        <v>14</v>
      </c>
      <c r="I314" s="1" t="s">
        <v>13</v>
      </c>
      <c r="J314" s="1" t="s">
        <v>18</v>
      </c>
      <c r="K314" s="1" t="s">
        <v>7</v>
      </c>
      <c r="L314" s="1" t="s">
        <v>83</v>
      </c>
    </row>
    <row r="315" spans="1:12" x14ac:dyDescent="0.25">
      <c r="A315" s="1" t="s">
        <v>90</v>
      </c>
      <c r="B315" s="1" t="s">
        <v>68</v>
      </c>
      <c r="C315" s="1">
        <v>3400</v>
      </c>
      <c r="D315" s="1">
        <v>24</v>
      </c>
      <c r="E315" s="1">
        <v>43</v>
      </c>
      <c r="F315" s="1">
        <v>67</v>
      </c>
      <c r="G315" s="24">
        <v>1822.1</v>
      </c>
      <c r="H315" s="1" t="s">
        <v>25</v>
      </c>
      <c r="I315" s="1" t="s">
        <v>3</v>
      </c>
      <c r="J315" s="1" t="s">
        <v>18</v>
      </c>
      <c r="K315" s="1" t="s">
        <v>10</v>
      </c>
      <c r="L315" s="1" t="s">
        <v>83</v>
      </c>
    </row>
    <row r="316" spans="1:12" x14ac:dyDescent="0.25">
      <c r="A316" s="1" t="s">
        <v>89</v>
      </c>
      <c r="B316" s="1" t="s">
        <v>68</v>
      </c>
      <c r="C316" s="1">
        <v>2351</v>
      </c>
      <c r="D316" s="1">
        <v>45</v>
      </c>
      <c r="E316" s="1">
        <v>-1</v>
      </c>
      <c r="F316" s="1">
        <v>362</v>
      </c>
      <c r="G316" s="24">
        <v>835.38</v>
      </c>
      <c r="H316" s="1" t="s">
        <v>12</v>
      </c>
      <c r="I316" s="1" t="s">
        <v>3</v>
      </c>
      <c r="J316" s="1" t="s">
        <v>18</v>
      </c>
      <c r="K316" s="1" t="s">
        <v>1</v>
      </c>
      <c r="L316" s="1" t="s">
        <v>83</v>
      </c>
    </row>
    <row r="317" spans="1:12" x14ac:dyDescent="0.25">
      <c r="A317" s="1" t="s">
        <v>88</v>
      </c>
      <c r="B317" s="1" t="s">
        <v>68</v>
      </c>
      <c r="C317" s="1">
        <v>4348</v>
      </c>
      <c r="D317" s="1">
        <v>27</v>
      </c>
      <c r="E317" s="1">
        <v>4</v>
      </c>
      <c r="F317" s="1">
        <v>118</v>
      </c>
      <c r="G317" s="24">
        <v>1464.83</v>
      </c>
      <c r="H317" s="1" t="s">
        <v>12</v>
      </c>
      <c r="I317" s="1" t="s">
        <v>13</v>
      </c>
      <c r="J317" s="1" t="s">
        <v>18</v>
      </c>
      <c r="K317" s="1" t="s">
        <v>21</v>
      </c>
      <c r="L317" s="1" t="s">
        <v>83</v>
      </c>
    </row>
    <row r="318" spans="1:12" x14ac:dyDescent="0.25">
      <c r="A318" s="1" t="s">
        <v>87</v>
      </c>
      <c r="B318" s="1" t="s">
        <v>68</v>
      </c>
      <c r="C318" s="1">
        <v>2118</v>
      </c>
      <c r="D318" s="1">
        <v>36</v>
      </c>
      <c r="E318" s="1">
        <v>26</v>
      </c>
      <c r="F318" s="1">
        <v>134</v>
      </c>
      <c r="G318" s="24">
        <v>27.52</v>
      </c>
      <c r="H318" s="1" t="s">
        <v>25</v>
      </c>
      <c r="I318" s="1" t="s">
        <v>13</v>
      </c>
      <c r="J318" s="1" t="s">
        <v>2</v>
      </c>
      <c r="K318" s="1" t="s">
        <v>17</v>
      </c>
      <c r="L318" s="1" t="s">
        <v>83</v>
      </c>
    </row>
    <row r="319" spans="1:12" x14ac:dyDescent="0.25">
      <c r="A319" s="1" t="s">
        <v>86</v>
      </c>
      <c r="B319" s="1" t="s">
        <v>68</v>
      </c>
      <c r="C319" s="1">
        <v>4857</v>
      </c>
      <c r="D319" s="1">
        <v>42</v>
      </c>
      <c r="E319" s="1">
        <v>22</v>
      </c>
      <c r="F319" s="1">
        <v>45</v>
      </c>
      <c r="G319" s="24">
        <v>490.45</v>
      </c>
      <c r="H319" s="1" t="s">
        <v>12</v>
      </c>
      <c r="I319" s="1" t="s">
        <v>3</v>
      </c>
      <c r="J319" s="1" t="s">
        <v>18</v>
      </c>
      <c r="K319" s="1" t="s">
        <v>7</v>
      </c>
      <c r="L319" s="1" t="s">
        <v>83</v>
      </c>
    </row>
    <row r="320" spans="1:12" x14ac:dyDescent="0.25">
      <c r="A320" s="1" t="s">
        <v>85</v>
      </c>
      <c r="B320" s="1" t="s">
        <v>68</v>
      </c>
      <c r="C320" s="1">
        <v>2234</v>
      </c>
      <c r="D320" s="1">
        <v>8</v>
      </c>
      <c r="E320" s="1">
        <v>32</v>
      </c>
      <c r="F320" s="1">
        <v>112</v>
      </c>
      <c r="G320" s="24">
        <v>2345.1</v>
      </c>
      <c r="H320" s="1" t="s">
        <v>25</v>
      </c>
      <c r="I320" s="1" t="s">
        <v>13</v>
      </c>
      <c r="J320" s="1" t="s">
        <v>18</v>
      </c>
      <c r="K320" s="1" t="s">
        <v>17</v>
      </c>
      <c r="L320" s="1" t="s">
        <v>83</v>
      </c>
    </row>
    <row r="321" spans="1:12" x14ac:dyDescent="0.25">
      <c r="A321" s="1" t="s">
        <v>84</v>
      </c>
      <c r="B321" s="1" t="s">
        <v>68</v>
      </c>
      <c r="C321" s="1">
        <v>2460</v>
      </c>
      <c r="D321" s="1">
        <v>11</v>
      </c>
      <c r="E321" s="1">
        <v>44</v>
      </c>
      <c r="F321" s="1">
        <v>346</v>
      </c>
      <c r="G321" s="24">
        <v>1740.99</v>
      </c>
      <c r="H321" s="1" t="s">
        <v>12</v>
      </c>
      <c r="I321" s="1" t="s">
        <v>13</v>
      </c>
      <c r="J321" s="1" t="s">
        <v>18</v>
      </c>
      <c r="K321" s="1" t="s">
        <v>21</v>
      </c>
      <c r="L321" s="1" t="s">
        <v>83</v>
      </c>
    </row>
    <row r="322" spans="1:12" x14ac:dyDescent="0.25">
      <c r="A322" s="1" t="s">
        <v>82</v>
      </c>
      <c r="B322" s="1" t="s">
        <v>68</v>
      </c>
      <c r="C322" s="1">
        <v>1961</v>
      </c>
      <c r="D322" s="1">
        <v>24</v>
      </c>
      <c r="E322" s="1">
        <v>29</v>
      </c>
      <c r="F322" s="1">
        <v>263</v>
      </c>
      <c r="G322" s="24">
        <v>1667.92</v>
      </c>
      <c r="H322" s="1" t="s">
        <v>29</v>
      </c>
      <c r="I322" s="1" t="s">
        <v>13</v>
      </c>
      <c r="J322" s="1" t="s">
        <v>2</v>
      </c>
      <c r="K322" s="1" t="s">
        <v>1</v>
      </c>
      <c r="L322" s="1" t="s">
        <v>51</v>
      </c>
    </row>
    <row r="323" spans="1:12" x14ac:dyDescent="0.25">
      <c r="A323" s="1" t="s">
        <v>81</v>
      </c>
      <c r="B323" s="1" t="s">
        <v>68</v>
      </c>
      <c r="C323" s="1">
        <v>1143</v>
      </c>
      <c r="D323" s="1">
        <v>9</v>
      </c>
      <c r="E323" s="1">
        <v>45</v>
      </c>
      <c r="F323" s="1">
        <v>274</v>
      </c>
      <c r="G323" s="24">
        <v>105.55</v>
      </c>
      <c r="H323" s="1" t="s">
        <v>4</v>
      </c>
      <c r="I323" s="1" t="s">
        <v>3</v>
      </c>
      <c r="J323" s="1" t="s">
        <v>11</v>
      </c>
      <c r="K323" s="1" t="s">
        <v>7</v>
      </c>
      <c r="L323" s="1" t="s">
        <v>51</v>
      </c>
    </row>
    <row r="324" spans="1:12" x14ac:dyDescent="0.25">
      <c r="A324" s="1" t="s">
        <v>80</v>
      </c>
      <c r="B324" s="1" t="s">
        <v>68</v>
      </c>
      <c r="C324" s="1">
        <v>2911</v>
      </c>
      <c r="D324" s="1">
        <v>36</v>
      </c>
      <c r="E324" s="1">
        <v>23</v>
      </c>
      <c r="F324" s="1">
        <v>149</v>
      </c>
      <c r="G324" s="24">
        <v>2341.0100000000002</v>
      </c>
      <c r="H324" s="1" t="s">
        <v>4</v>
      </c>
      <c r="I324" s="1" t="s">
        <v>13</v>
      </c>
      <c r="J324" s="1" t="s">
        <v>18</v>
      </c>
      <c r="K324" s="1" t="s">
        <v>10</v>
      </c>
      <c r="L324" s="1" t="s">
        <v>51</v>
      </c>
    </row>
    <row r="325" spans="1:12" x14ac:dyDescent="0.25">
      <c r="A325" s="1" t="s">
        <v>79</v>
      </c>
      <c r="B325" s="1" t="s">
        <v>68</v>
      </c>
      <c r="C325" s="1">
        <v>3715</v>
      </c>
      <c r="D325" s="1">
        <v>22</v>
      </c>
      <c r="E325" s="1">
        <v>30</v>
      </c>
      <c r="F325" s="1">
        <v>349</v>
      </c>
      <c r="G325" s="24">
        <v>2487.75</v>
      </c>
      <c r="H325" s="1" t="s">
        <v>12</v>
      </c>
      <c r="I325" s="1" t="s">
        <v>3</v>
      </c>
      <c r="J325" s="1" t="s">
        <v>18</v>
      </c>
      <c r="K325" s="1" t="s">
        <v>7</v>
      </c>
      <c r="L325" s="1" t="s">
        <v>51</v>
      </c>
    </row>
    <row r="326" spans="1:12" x14ac:dyDescent="0.25">
      <c r="A326" s="1" t="s">
        <v>78</v>
      </c>
      <c r="B326" s="1" t="s">
        <v>68</v>
      </c>
      <c r="C326" s="1">
        <v>4591</v>
      </c>
      <c r="D326" s="1">
        <v>20</v>
      </c>
      <c r="E326" s="1">
        <v>-3</v>
      </c>
      <c r="F326" s="1">
        <v>431</v>
      </c>
      <c r="G326" s="24">
        <v>792.39</v>
      </c>
      <c r="H326" s="1" t="s">
        <v>14</v>
      </c>
      <c r="I326" s="1" t="s">
        <v>3</v>
      </c>
      <c r="J326" s="1" t="s">
        <v>18</v>
      </c>
      <c r="K326" s="1" t="s">
        <v>1</v>
      </c>
      <c r="L326" s="1" t="s">
        <v>51</v>
      </c>
    </row>
    <row r="327" spans="1:12" x14ac:dyDescent="0.25">
      <c r="A327" s="1" t="s">
        <v>77</v>
      </c>
      <c r="B327" s="1" t="s">
        <v>68</v>
      </c>
      <c r="C327" s="1">
        <v>3370</v>
      </c>
      <c r="D327" s="1">
        <v>6</v>
      </c>
      <c r="E327" s="1">
        <v>48</v>
      </c>
      <c r="F327" s="1">
        <v>404</v>
      </c>
      <c r="G327" s="24">
        <v>2089.08</v>
      </c>
      <c r="H327" s="1" t="s">
        <v>19</v>
      </c>
      <c r="I327" s="1" t="s">
        <v>13</v>
      </c>
      <c r="J327" s="1" t="s">
        <v>2</v>
      </c>
      <c r="K327" s="1" t="s">
        <v>1</v>
      </c>
      <c r="L327" s="1" t="s">
        <v>51</v>
      </c>
    </row>
    <row r="328" spans="1:12" x14ac:dyDescent="0.25">
      <c r="A328" s="1" t="s">
        <v>76</v>
      </c>
      <c r="B328" s="1" t="s">
        <v>68</v>
      </c>
      <c r="C328" s="1">
        <v>2576</v>
      </c>
      <c r="D328" s="1">
        <v>20</v>
      </c>
      <c r="E328" s="1">
        <v>28</v>
      </c>
      <c r="F328" s="1">
        <v>214</v>
      </c>
      <c r="G328" s="24">
        <v>1316.01</v>
      </c>
      <c r="H328" s="1" t="s">
        <v>14</v>
      </c>
      <c r="I328" s="1" t="s">
        <v>13</v>
      </c>
      <c r="J328" s="1" t="s">
        <v>11</v>
      </c>
      <c r="K328" s="1" t="s">
        <v>10</v>
      </c>
      <c r="L328" s="1" t="s">
        <v>51</v>
      </c>
    </row>
    <row r="329" spans="1:12" x14ac:dyDescent="0.25">
      <c r="A329" s="1" t="s">
        <v>75</v>
      </c>
      <c r="B329" s="1" t="s">
        <v>68</v>
      </c>
      <c r="C329" s="1">
        <v>1416</v>
      </c>
      <c r="D329" s="1">
        <v>15</v>
      </c>
      <c r="E329" s="1">
        <v>21</v>
      </c>
      <c r="F329" s="1">
        <v>272</v>
      </c>
      <c r="G329" s="24">
        <v>790.99</v>
      </c>
      <c r="H329" s="1" t="s">
        <v>12</v>
      </c>
      <c r="I329" s="1" t="s">
        <v>13</v>
      </c>
      <c r="J329" s="1" t="s">
        <v>18</v>
      </c>
      <c r="K329" s="1" t="s">
        <v>10</v>
      </c>
      <c r="L329" s="1" t="s">
        <v>51</v>
      </c>
    </row>
    <row r="330" spans="1:12" x14ac:dyDescent="0.25">
      <c r="A330" s="1" t="s">
        <v>74</v>
      </c>
      <c r="B330" s="1" t="s">
        <v>68</v>
      </c>
      <c r="C330" s="1">
        <v>3790</v>
      </c>
      <c r="D330" s="1">
        <v>29</v>
      </c>
      <c r="E330" s="1">
        <v>23</v>
      </c>
      <c r="F330" s="1">
        <v>405</v>
      </c>
      <c r="G330" s="24">
        <v>1941.82</v>
      </c>
      <c r="H330" s="1" t="s">
        <v>14</v>
      </c>
      <c r="I330" s="1" t="s">
        <v>13</v>
      </c>
      <c r="J330" s="1" t="s">
        <v>18</v>
      </c>
      <c r="K330" s="1" t="s">
        <v>10</v>
      </c>
      <c r="L330" s="1" t="s">
        <v>51</v>
      </c>
    </row>
    <row r="331" spans="1:12" x14ac:dyDescent="0.25">
      <c r="A331" s="1" t="s">
        <v>73</v>
      </c>
      <c r="B331" s="1" t="s">
        <v>68</v>
      </c>
      <c r="C331" s="1">
        <v>1375</v>
      </c>
      <c r="D331" s="1">
        <v>25</v>
      </c>
      <c r="E331" s="1">
        <v>11</v>
      </c>
      <c r="F331" s="1">
        <v>218</v>
      </c>
      <c r="G331" s="24">
        <v>2476.16</v>
      </c>
      <c r="H331" s="1" t="s">
        <v>14</v>
      </c>
      <c r="I331" s="1" t="s">
        <v>13</v>
      </c>
      <c r="J331" s="1" t="s">
        <v>18</v>
      </c>
      <c r="K331" s="1" t="s">
        <v>10</v>
      </c>
      <c r="L331" s="1" t="s">
        <v>51</v>
      </c>
    </row>
    <row r="332" spans="1:12" x14ac:dyDescent="0.25">
      <c r="A332" s="1" t="s">
        <v>72</v>
      </c>
      <c r="B332" s="1" t="s">
        <v>68</v>
      </c>
      <c r="C332" s="1">
        <v>2563</v>
      </c>
      <c r="D332" s="1">
        <v>38</v>
      </c>
      <c r="E332" s="1">
        <v>39</v>
      </c>
      <c r="F332" s="1">
        <v>228</v>
      </c>
      <c r="G332" s="24">
        <v>643.01</v>
      </c>
      <c r="H332" s="1" t="s">
        <v>14</v>
      </c>
      <c r="I332" s="1" t="s">
        <v>13</v>
      </c>
      <c r="J332" s="1" t="s">
        <v>18</v>
      </c>
      <c r="K332" s="1" t="s">
        <v>10</v>
      </c>
      <c r="L332" s="1" t="s">
        <v>51</v>
      </c>
    </row>
    <row r="333" spans="1:12" x14ac:dyDescent="0.25">
      <c r="A333" s="1" t="s">
        <v>71</v>
      </c>
      <c r="B333" s="1" t="s">
        <v>68</v>
      </c>
      <c r="C333" s="1">
        <v>2583</v>
      </c>
      <c r="D333" s="1">
        <v>37</v>
      </c>
      <c r="E333" s="1">
        <v>23</v>
      </c>
      <c r="F333" s="1">
        <v>418</v>
      </c>
      <c r="G333" s="24">
        <v>1963.62</v>
      </c>
      <c r="H333" s="1" t="s">
        <v>14</v>
      </c>
      <c r="I333" s="1" t="s">
        <v>3</v>
      </c>
      <c r="J333" s="1" t="s">
        <v>18</v>
      </c>
      <c r="K333" s="1" t="s">
        <v>10</v>
      </c>
      <c r="L333" s="1" t="s">
        <v>51</v>
      </c>
    </row>
    <row r="334" spans="1:12" x14ac:dyDescent="0.25">
      <c r="A334" s="1" t="s">
        <v>70</v>
      </c>
      <c r="B334" s="1" t="s">
        <v>68</v>
      </c>
      <c r="C334" s="1">
        <v>3521</v>
      </c>
      <c r="D334" s="1">
        <v>36</v>
      </c>
      <c r="E334" s="1">
        <v>6</v>
      </c>
      <c r="F334" s="1">
        <v>361</v>
      </c>
      <c r="G334" s="24">
        <v>580</v>
      </c>
      <c r="H334" s="1" t="s">
        <v>25</v>
      </c>
      <c r="I334" s="1" t="s">
        <v>13</v>
      </c>
      <c r="J334" s="1" t="s">
        <v>18</v>
      </c>
      <c r="K334" s="1" t="s">
        <v>15</v>
      </c>
      <c r="L334" s="1" t="s">
        <v>51</v>
      </c>
    </row>
    <row r="335" spans="1:12" x14ac:dyDescent="0.25">
      <c r="A335" s="1" t="s">
        <v>69</v>
      </c>
      <c r="B335" s="1" t="s">
        <v>68</v>
      </c>
      <c r="C335" s="1">
        <v>1164</v>
      </c>
      <c r="D335" s="1">
        <v>16</v>
      </c>
      <c r="E335" s="1">
        <v>36</v>
      </c>
      <c r="F335" s="1">
        <v>333</v>
      </c>
      <c r="G335" s="24">
        <v>1504.88</v>
      </c>
      <c r="H335" s="1" t="s">
        <v>29</v>
      </c>
      <c r="I335" s="1" t="s">
        <v>13</v>
      </c>
      <c r="J335" s="1" t="s">
        <v>8</v>
      </c>
      <c r="K335" s="1" t="s">
        <v>1</v>
      </c>
      <c r="L335" s="1" t="s">
        <v>51</v>
      </c>
    </row>
    <row r="336" spans="1:12" x14ac:dyDescent="0.25">
      <c r="A336" s="1" t="s">
        <v>67</v>
      </c>
      <c r="B336" s="1" t="s">
        <v>35</v>
      </c>
      <c r="C336" s="1">
        <v>4764</v>
      </c>
      <c r="D336" s="1">
        <v>37</v>
      </c>
      <c r="E336" s="1">
        <v>46</v>
      </c>
      <c r="F336" s="1">
        <v>300</v>
      </c>
      <c r="G336" s="24">
        <v>313.7</v>
      </c>
      <c r="H336" s="1" t="s">
        <v>14</v>
      </c>
      <c r="I336" s="1" t="s">
        <v>13</v>
      </c>
      <c r="J336" s="1" t="s">
        <v>18</v>
      </c>
      <c r="K336" s="1" t="s">
        <v>10</v>
      </c>
      <c r="L336" s="1" t="s">
        <v>51</v>
      </c>
    </row>
    <row r="337" spans="1:12" x14ac:dyDescent="0.25">
      <c r="A337" s="1" t="s">
        <v>66</v>
      </c>
      <c r="B337" s="1" t="s">
        <v>35</v>
      </c>
      <c r="C337" s="1">
        <v>1509</v>
      </c>
      <c r="D337" s="1">
        <v>37</v>
      </c>
      <c r="E337" s="1">
        <v>11</v>
      </c>
      <c r="F337" s="1">
        <v>133</v>
      </c>
      <c r="G337" s="24">
        <v>861.44</v>
      </c>
      <c r="H337" s="1" t="s">
        <v>12</v>
      </c>
      <c r="I337" s="1" t="s">
        <v>13</v>
      </c>
      <c r="J337" s="1" t="s">
        <v>18</v>
      </c>
      <c r="K337" s="1" t="s">
        <v>7</v>
      </c>
      <c r="L337" s="1" t="s">
        <v>51</v>
      </c>
    </row>
    <row r="338" spans="1:12" x14ac:dyDescent="0.25">
      <c r="A338" s="1" t="s">
        <v>65</v>
      </c>
      <c r="B338" s="1" t="s">
        <v>35</v>
      </c>
      <c r="C338" s="1">
        <v>3238</v>
      </c>
      <c r="D338" s="1">
        <v>9</v>
      </c>
      <c r="E338" s="1">
        <v>2</v>
      </c>
      <c r="F338" s="1">
        <v>292</v>
      </c>
      <c r="G338" s="24">
        <v>858.16</v>
      </c>
      <c r="H338" s="1" t="s">
        <v>29</v>
      </c>
      <c r="I338" s="1" t="s">
        <v>13</v>
      </c>
      <c r="J338" s="1" t="s">
        <v>2</v>
      </c>
      <c r="K338" s="1" t="s">
        <v>1</v>
      </c>
      <c r="L338" s="1" t="s">
        <v>51</v>
      </c>
    </row>
    <row r="339" spans="1:12" x14ac:dyDescent="0.25">
      <c r="A339" s="1" t="s">
        <v>64</v>
      </c>
      <c r="B339" s="1" t="s">
        <v>35</v>
      </c>
      <c r="C339" s="1">
        <v>4860</v>
      </c>
      <c r="D339" s="1">
        <v>29</v>
      </c>
      <c r="E339" s="1">
        <v>25</v>
      </c>
      <c r="F339" s="1">
        <v>317</v>
      </c>
      <c r="G339" s="24">
        <v>757.49</v>
      </c>
      <c r="H339" s="1" t="s">
        <v>14</v>
      </c>
      <c r="I339" s="1" t="s">
        <v>3</v>
      </c>
      <c r="J339" s="1" t="s">
        <v>18</v>
      </c>
      <c r="K339" s="1" t="s">
        <v>1</v>
      </c>
      <c r="L339" s="1" t="s">
        <v>51</v>
      </c>
    </row>
    <row r="340" spans="1:12" x14ac:dyDescent="0.25">
      <c r="A340" s="1" t="s">
        <v>63</v>
      </c>
      <c r="B340" s="1" t="s">
        <v>35</v>
      </c>
      <c r="C340" s="1">
        <v>1332</v>
      </c>
      <c r="D340" s="1">
        <v>7</v>
      </c>
      <c r="E340" s="1">
        <v>14</v>
      </c>
      <c r="F340" s="1">
        <v>217</v>
      </c>
      <c r="G340" s="24">
        <v>2045.45</v>
      </c>
      <c r="H340" s="1" t="s">
        <v>12</v>
      </c>
      <c r="I340" s="1" t="s">
        <v>3</v>
      </c>
      <c r="J340" s="1" t="s">
        <v>18</v>
      </c>
      <c r="K340" s="1" t="s">
        <v>10</v>
      </c>
      <c r="L340" s="1" t="s">
        <v>51</v>
      </c>
    </row>
    <row r="341" spans="1:12" x14ac:dyDescent="0.25">
      <c r="A341" s="1" t="s">
        <v>62</v>
      </c>
      <c r="B341" s="1" t="s">
        <v>35</v>
      </c>
      <c r="C341" s="1">
        <v>4845</v>
      </c>
      <c r="D341" s="1">
        <v>13</v>
      </c>
      <c r="E341" s="1">
        <v>8</v>
      </c>
      <c r="F341" s="1">
        <v>100</v>
      </c>
      <c r="G341" s="24">
        <v>542.89</v>
      </c>
      <c r="H341" s="1" t="s">
        <v>19</v>
      </c>
      <c r="I341" s="1" t="s">
        <v>13</v>
      </c>
      <c r="J341" s="1" t="s">
        <v>18</v>
      </c>
      <c r="K341" s="1" t="s">
        <v>17</v>
      </c>
      <c r="L341" s="1" t="s">
        <v>51</v>
      </c>
    </row>
    <row r="342" spans="1:12" x14ac:dyDescent="0.25">
      <c r="A342" s="1" t="s">
        <v>61</v>
      </c>
      <c r="B342" s="1" t="s">
        <v>35</v>
      </c>
      <c r="C342" s="1">
        <v>1735</v>
      </c>
      <c r="D342" s="1">
        <v>44</v>
      </c>
      <c r="E342" s="1">
        <v>24</v>
      </c>
      <c r="F342" s="1">
        <v>403</v>
      </c>
      <c r="G342" s="24">
        <v>394.21</v>
      </c>
      <c r="H342" s="1" t="s">
        <v>12</v>
      </c>
      <c r="I342" s="1" t="s">
        <v>13</v>
      </c>
      <c r="J342" s="1" t="s">
        <v>18</v>
      </c>
      <c r="K342" s="1" t="s">
        <v>7</v>
      </c>
      <c r="L342" s="1" t="s">
        <v>51</v>
      </c>
    </row>
    <row r="343" spans="1:12" x14ac:dyDescent="0.25">
      <c r="A343" s="1" t="s">
        <v>60</v>
      </c>
      <c r="B343" s="1" t="s">
        <v>35</v>
      </c>
      <c r="C343" s="1">
        <v>2747</v>
      </c>
      <c r="D343" s="1">
        <v>13</v>
      </c>
      <c r="E343" s="1">
        <v>15</v>
      </c>
      <c r="F343" s="1">
        <v>349</v>
      </c>
      <c r="G343" s="24">
        <v>2072.27</v>
      </c>
      <c r="H343" s="1" t="s">
        <v>14</v>
      </c>
      <c r="I343" s="1" t="s">
        <v>13</v>
      </c>
      <c r="J343" s="1" t="s">
        <v>11</v>
      </c>
      <c r="K343" s="1" t="s">
        <v>10</v>
      </c>
      <c r="L343" s="1" t="s">
        <v>51</v>
      </c>
    </row>
    <row r="344" spans="1:12" x14ac:dyDescent="0.25">
      <c r="A344" s="1" t="s">
        <v>59</v>
      </c>
      <c r="B344" s="1" t="s">
        <v>35</v>
      </c>
      <c r="C344" s="1">
        <v>1732</v>
      </c>
      <c r="D344" s="1">
        <v>36</v>
      </c>
      <c r="E344" s="1">
        <v>1</v>
      </c>
      <c r="F344" s="1">
        <v>322</v>
      </c>
      <c r="G344" s="24">
        <v>380.52</v>
      </c>
      <c r="H344" s="1" t="s">
        <v>14</v>
      </c>
      <c r="I344" s="1" t="s">
        <v>13</v>
      </c>
      <c r="J344" s="1" t="s">
        <v>18</v>
      </c>
      <c r="K344" s="1" t="s">
        <v>10</v>
      </c>
      <c r="L344" s="1" t="s">
        <v>51</v>
      </c>
    </row>
    <row r="345" spans="1:12" x14ac:dyDescent="0.25">
      <c r="A345" s="1" t="s">
        <v>58</v>
      </c>
      <c r="B345" s="1" t="s">
        <v>35</v>
      </c>
      <c r="C345" s="1">
        <v>3708</v>
      </c>
      <c r="D345" s="1">
        <v>9</v>
      </c>
      <c r="E345" s="1">
        <v>50</v>
      </c>
      <c r="F345" s="1">
        <v>113</v>
      </c>
      <c r="G345" s="24">
        <v>2385.5500000000002</v>
      </c>
      <c r="H345" s="1" t="s">
        <v>19</v>
      </c>
      <c r="I345" s="1" t="s">
        <v>3</v>
      </c>
      <c r="J345" s="1" t="s">
        <v>18</v>
      </c>
      <c r="K345" s="1" t="s">
        <v>1</v>
      </c>
      <c r="L345" s="1" t="s">
        <v>51</v>
      </c>
    </row>
    <row r="346" spans="1:12" x14ac:dyDescent="0.25">
      <c r="A346" s="1" t="s">
        <v>57</v>
      </c>
      <c r="B346" s="1" t="s">
        <v>35</v>
      </c>
      <c r="C346" s="1">
        <v>4442</v>
      </c>
      <c r="D346" s="1">
        <v>18</v>
      </c>
      <c r="E346" s="1">
        <v>46</v>
      </c>
      <c r="F346" s="1">
        <v>29</v>
      </c>
      <c r="G346" s="24">
        <v>305.31</v>
      </c>
      <c r="H346" s="1" t="s">
        <v>12</v>
      </c>
      <c r="I346" s="1" t="s">
        <v>13</v>
      </c>
      <c r="J346" s="1" t="s">
        <v>18</v>
      </c>
      <c r="K346" s="1" t="s">
        <v>17</v>
      </c>
      <c r="L346" s="1" t="s">
        <v>51</v>
      </c>
    </row>
    <row r="347" spans="1:12" x14ac:dyDescent="0.25">
      <c r="A347" s="1" t="s">
        <v>56</v>
      </c>
      <c r="B347" s="1" t="s">
        <v>35</v>
      </c>
      <c r="C347" s="1">
        <v>4370</v>
      </c>
      <c r="D347" s="1">
        <v>38</v>
      </c>
      <c r="E347" s="1">
        <v>21</v>
      </c>
      <c r="F347" s="1">
        <v>241</v>
      </c>
      <c r="G347" s="24">
        <v>11.22</v>
      </c>
      <c r="H347" s="1" t="s">
        <v>12</v>
      </c>
      <c r="I347" s="1" t="s">
        <v>13</v>
      </c>
      <c r="J347" s="1" t="s">
        <v>18</v>
      </c>
      <c r="K347" s="1" t="s">
        <v>10</v>
      </c>
      <c r="L347" s="1" t="s">
        <v>51</v>
      </c>
    </row>
    <row r="348" spans="1:12" x14ac:dyDescent="0.25">
      <c r="A348" s="1" t="s">
        <v>55</v>
      </c>
      <c r="B348" s="1" t="s">
        <v>35</v>
      </c>
      <c r="C348" s="1">
        <v>4231</v>
      </c>
      <c r="D348" s="1">
        <v>45</v>
      </c>
      <c r="E348" s="1">
        <v>2</v>
      </c>
      <c r="F348" s="1">
        <v>233</v>
      </c>
      <c r="G348" s="24">
        <v>1665.15</v>
      </c>
      <c r="H348" s="1" t="s">
        <v>12</v>
      </c>
      <c r="I348" s="1" t="s">
        <v>3</v>
      </c>
      <c r="J348" s="1" t="s">
        <v>11</v>
      </c>
      <c r="K348" s="1" t="s">
        <v>1</v>
      </c>
      <c r="L348" s="1" t="s">
        <v>51</v>
      </c>
    </row>
    <row r="349" spans="1:12" x14ac:dyDescent="0.25">
      <c r="A349" s="1" t="s">
        <v>54</v>
      </c>
      <c r="B349" s="1" t="s">
        <v>35</v>
      </c>
      <c r="C349" s="1">
        <v>4952</v>
      </c>
      <c r="D349" s="1">
        <v>19</v>
      </c>
      <c r="E349" s="1">
        <v>7</v>
      </c>
      <c r="F349" s="1">
        <v>93</v>
      </c>
      <c r="G349" s="24">
        <v>1108.6199999999999</v>
      </c>
      <c r="H349" s="1" t="s">
        <v>19</v>
      </c>
      <c r="I349" s="1" t="s">
        <v>3</v>
      </c>
      <c r="J349" s="1" t="s">
        <v>18</v>
      </c>
      <c r="K349" s="1" t="s">
        <v>7</v>
      </c>
      <c r="L349" s="1" t="s">
        <v>51</v>
      </c>
    </row>
    <row r="350" spans="1:12" x14ac:dyDescent="0.25">
      <c r="A350" s="1" t="s">
        <v>53</v>
      </c>
      <c r="B350" s="1" t="s">
        <v>35</v>
      </c>
      <c r="C350" s="1">
        <v>3037</v>
      </c>
      <c r="D350" s="1">
        <v>29</v>
      </c>
      <c r="E350" s="1">
        <v>45</v>
      </c>
      <c r="F350" s="1">
        <v>402</v>
      </c>
      <c r="G350" s="24">
        <v>1061.83</v>
      </c>
      <c r="H350" s="1" t="s">
        <v>14</v>
      </c>
      <c r="I350" s="1" t="s">
        <v>13</v>
      </c>
      <c r="J350" s="1" t="s">
        <v>18</v>
      </c>
      <c r="K350" s="1" t="s">
        <v>7</v>
      </c>
      <c r="L350" s="1" t="s">
        <v>51</v>
      </c>
    </row>
    <row r="351" spans="1:12" x14ac:dyDescent="0.25">
      <c r="A351" s="1" t="s">
        <v>52</v>
      </c>
      <c r="B351" s="1" t="s">
        <v>35</v>
      </c>
      <c r="C351" s="1">
        <v>4635</v>
      </c>
      <c r="D351" s="1">
        <v>30</v>
      </c>
      <c r="E351" s="1">
        <v>34</v>
      </c>
      <c r="F351" s="1">
        <v>187</v>
      </c>
      <c r="G351" s="24">
        <v>1487.39</v>
      </c>
      <c r="H351" s="1" t="s">
        <v>12</v>
      </c>
      <c r="I351" s="1" t="s">
        <v>13</v>
      </c>
      <c r="J351" s="1" t="s">
        <v>11</v>
      </c>
      <c r="K351" s="1" t="s">
        <v>1</v>
      </c>
      <c r="L351" s="1" t="s">
        <v>51</v>
      </c>
    </row>
    <row r="352" spans="1:12" x14ac:dyDescent="0.25">
      <c r="A352" s="1" t="s">
        <v>50</v>
      </c>
      <c r="B352" s="1" t="s">
        <v>35</v>
      </c>
      <c r="C352" s="1">
        <v>2747</v>
      </c>
      <c r="D352" s="1">
        <v>43</v>
      </c>
      <c r="E352" s="1">
        <v>26</v>
      </c>
      <c r="F352" s="1">
        <v>339</v>
      </c>
      <c r="G352" s="24">
        <v>1407.47</v>
      </c>
      <c r="H352" s="1" t="s">
        <v>4</v>
      </c>
      <c r="I352" s="1" t="s">
        <v>13</v>
      </c>
      <c r="J352" s="1" t="s">
        <v>8</v>
      </c>
      <c r="K352" s="1" t="s">
        <v>15</v>
      </c>
      <c r="L352" s="1" t="s">
        <v>6</v>
      </c>
    </row>
    <row r="353" spans="1:12" x14ac:dyDescent="0.25">
      <c r="A353" s="1" t="s">
        <v>49</v>
      </c>
      <c r="B353" s="1" t="s">
        <v>35</v>
      </c>
      <c r="C353" s="1">
        <v>4414</v>
      </c>
      <c r="D353" s="1">
        <v>17</v>
      </c>
      <c r="E353" s="1">
        <v>35</v>
      </c>
      <c r="F353" s="1">
        <v>132</v>
      </c>
      <c r="G353" s="24">
        <v>1758.76</v>
      </c>
      <c r="H353" s="1" t="s">
        <v>12</v>
      </c>
      <c r="I353" s="1" t="s">
        <v>3</v>
      </c>
      <c r="J353" s="1" t="s">
        <v>18</v>
      </c>
      <c r="K353" s="1" t="s">
        <v>7</v>
      </c>
      <c r="L353" s="1" t="s">
        <v>6</v>
      </c>
    </row>
    <row r="354" spans="1:12" x14ac:dyDescent="0.25">
      <c r="A354" s="1" t="s">
        <v>48</v>
      </c>
      <c r="B354" s="1" t="s">
        <v>35</v>
      </c>
      <c r="C354" s="1">
        <v>4560</v>
      </c>
      <c r="D354" s="1">
        <v>23</v>
      </c>
      <c r="E354" s="1">
        <v>47</v>
      </c>
      <c r="F354" s="1">
        <v>58</v>
      </c>
      <c r="G354" s="24">
        <v>220.58</v>
      </c>
      <c r="H354" s="1" t="s">
        <v>14</v>
      </c>
      <c r="I354" s="1" t="s">
        <v>13</v>
      </c>
      <c r="J354" s="1" t="s">
        <v>11</v>
      </c>
      <c r="K354" s="1" t="s">
        <v>7</v>
      </c>
      <c r="L354" s="1" t="s">
        <v>6</v>
      </c>
    </row>
    <row r="355" spans="1:12" x14ac:dyDescent="0.25">
      <c r="A355" s="1" t="s">
        <v>47</v>
      </c>
      <c r="B355" s="1" t="s">
        <v>35</v>
      </c>
      <c r="C355" s="1">
        <v>2942</v>
      </c>
      <c r="D355" s="1">
        <v>32</v>
      </c>
      <c r="E355" s="1">
        <v>36</v>
      </c>
      <c r="F355" s="1">
        <v>250</v>
      </c>
      <c r="G355" s="24">
        <v>650.63</v>
      </c>
      <c r="H355" s="1" t="s">
        <v>14</v>
      </c>
      <c r="I355" s="1" t="s">
        <v>3</v>
      </c>
      <c r="J355" s="1" t="s">
        <v>18</v>
      </c>
      <c r="K355" s="1" t="s">
        <v>1</v>
      </c>
      <c r="L355" s="1" t="s">
        <v>6</v>
      </c>
    </row>
    <row r="356" spans="1:12" x14ac:dyDescent="0.25">
      <c r="A356" s="1" t="s">
        <v>46</v>
      </c>
      <c r="B356" s="1" t="s">
        <v>35</v>
      </c>
      <c r="C356" s="1">
        <v>2216</v>
      </c>
      <c r="D356" s="1">
        <v>10</v>
      </c>
      <c r="E356" s="1">
        <v>22</v>
      </c>
      <c r="F356" s="1">
        <v>140</v>
      </c>
      <c r="G356" s="24">
        <v>1218.71</v>
      </c>
      <c r="H356" s="1" t="s">
        <v>12</v>
      </c>
      <c r="I356" s="1" t="s">
        <v>13</v>
      </c>
      <c r="J356" s="1" t="s">
        <v>18</v>
      </c>
      <c r="K356" s="1" t="s">
        <v>7</v>
      </c>
      <c r="L356" s="1" t="s">
        <v>6</v>
      </c>
    </row>
    <row r="357" spans="1:12" x14ac:dyDescent="0.25">
      <c r="A357" s="1" t="s">
        <v>45</v>
      </c>
      <c r="B357" s="1" t="s">
        <v>35</v>
      </c>
      <c r="C357" s="1">
        <v>517</v>
      </c>
      <c r="D357" s="1">
        <v>27</v>
      </c>
      <c r="E357" s="1">
        <v>31</v>
      </c>
      <c r="F357" s="1">
        <v>303</v>
      </c>
      <c r="G357" s="24">
        <v>2205.64</v>
      </c>
      <c r="H357" s="1" t="s">
        <v>19</v>
      </c>
      <c r="I357" s="1" t="s">
        <v>13</v>
      </c>
      <c r="J357" s="1" t="s">
        <v>18</v>
      </c>
      <c r="K357" s="1" t="s">
        <v>1</v>
      </c>
      <c r="L357" s="1" t="s">
        <v>6</v>
      </c>
    </row>
    <row r="358" spans="1:12" x14ac:dyDescent="0.25">
      <c r="A358" s="1" t="s">
        <v>44</v>
      </c>
      <c r="B358" s="1" t="s">
        <v>35</v>
      </c>
      <c r="C358" s="1">
        <v>4257</v>
      </c>
      <c r="D358" s="1">
        <v>32</v>
      </c>
      <c r="E358" s="1">
        <v>41</v>
      </c>
      <c r="F358" s="1">
        <v>337</v>
      </c>
      <c r="G358" s="24">
        <v>2341.71</v>
      </c>
      <c r="H358" s="1" t="s">
        <v>29</v>
      </c>
      <c r="I358" s="1" t="s">
        <v>13</v>
      </c>
      <c r="J358" s="1" t="s">
        <v>11</v>
      </c>
      <c r="K358" s="1" t="s">
        <v>7</v>
      </c>
      <c r="L358" s="1" t="s">
        <v>6</v>
      </c>
    </row>
    <row r="359" spans="1:12" x14ac:dyDescent="0.25">
      <c r="A359" s="1" t="s">
        <v>43</v>
      </c>
      <c r="B359" s="1" t="s">
        <v>35</v>
      </c>
      <c r="C359" s="1">
        <v>1456</v>
      </c>
      <c r="D359" s="1">
        <v>13</v>
      </c>
      <c r="E359" s="1">
        <v>33</v>
      </c>
      <c r="F359" s="1">
        <v>278</v>
      </c>
      <c r="G359" s="24">
        <v>777.69</v>
      </c>
      <c r="H359" s="1" t="s">
        <v>12</v>
      </c>
      <c r="I359" s="1" t="s">
        <v>13</v>
      </c>
      <c r="J359" s="1" t="s">
        <v>11</v>
      </c>
      <c r="K359" s="1" t="s">
        <v>1</v>
      </c>
      <c r="L359" s="1" t="s">
        <v>6</v>
      </c>
    </row>
    <row r="360" spans="1:12" x14ac:dyDescent="0.25">
      <c r="A360" s="1" t="s">
        <v>42</v>
      </c>
      <c r="B360" s="1" t="s">
        <v>35</v>
      </c>
      <c r="C360" s="1">
        <v>813</v>
      </c>
      <c r="D360" s="1">
        <v>41</v>
      </c>
      <c r="E360" s="1">
        <v>32</v>
      </c>
      <c r="F360" s="1">
        <v>245</v>
      </c>
      <c r="G360" s="24">
        <v>1696.16</v>
      </c>
      <c r="H360" s="1" t="s">
        <v>4</v>
      </c>
      <c r="I360" s="1" t="s">
        <v>13</v>
      </c>
      <c r="J360" s="1" t="s">
        <v>18</v>
      </c>
      <c r="K360" s="1" t="s">
        <v>7</v>
      </c>
      <c r="L360" s="1" t="s">
        <v>6</v>
      </c>
    </row>
    <row r="361" spans="1:12" x14ac:dyDescent="0.25">
      <c r="A361" s="1" t="s">
        <v>41</v>
      </c>
      <c r="B361" s="1" t="s">
        <v>35</v>
      </c>
      <c r="C361" s="1">
        <v>2233</v>
      </c>
      <c r="D361" s="1">
        <v>17</v>
      </c>
      <c r="E361" s="1">
        <v>43</v>
      </c>
      <c r="F361" s="1">
        <v>178</v>
      </c>
      <c r="G361" s="24">
        <v>857.82</v>
      </c>
      <c r="H361" s="1" t="s">
        <v>14</v>
      </c>
      <c r="I361" s="1" t="s">
        <v>3</v>
      </c>
      <c r="J361" s="1" t="s">
        <v>2</v>
      </c>
      <c r="K361" s="1" t="s">
        <v>7</v>
      </c>
      <c r="L361" s="1" t="s">
        <v>6</v>
      </c>
    </row>
    <row r="362" spans="1:12" x14ac:dyDescent="0.25">
      <c r="A362" s="1" t="s">
        <v>40</v>
      </c>
      <c r="B362" s="1" t="s">
        <v>35</v>
      </c>
      <c r="C362" s="1">
        <v>1700</v>
      </c>
      <c r="D362" s="1">
        <v>9</v>
      </c>
      <c r="E362" s="1">
        <v>42</v>
      </c>
      <c r="F362" s="1">
        <v>43</v>
      </c>
      <c r="G362" s="24">
        <v>1161.8</v>
      </c>
      <c r="H362" s="1" t="s">
        <v>12</v>
      </c>
      <c r="I362" s="1" t="s">
        <v>13</v>
      </c>
      <c r="J362" s="1" t="s">
        <v>2</v>
      </c>
      <c r="K362" s="1" t="s">
        <v>1</v>
      </c>
      <c r="L362" s="1" t="s">
        <v>6</v>
      </c>
    </row>
    <row r="363" spans="1:12" x14ac:dyDescent="0.25">
      <c r="A363" s="1" t="s">
        <v>39</v>
      </c>
      <c r="B363" s="1" t="s">
        <v>35</v>
      </c>
      <c r="C363" s="1">
        <v>4862</v>
      </c>
      <c r="D363" s="1">
        <v>12</v>
      </c>
      <c r="E363" s="1">
        <v>6</v>
      </c>
      <c r="F363" s="1">
        <v>40</v>
      </c>
      <c r="G363" s="24">
        <v>1438.42</v>
      </c>
      <c r="H363" s="1" t="s">
        <v>4</v>
      </c>
      <c r="I363" s="1" t="s">
        <v>3</v>
      </c>
      <c r="J363" s="1" t="s">
        <v>18</v>
      </c>
      <c r="K363" s="1" t="s">
        <v>10</v>
      </c>
      <c r="L363" s="1" t="s">
        <v>6</v>
      </c>
    </row>
    <row r="364" spans="1:12" x14ac:dyDescent="0.25">
      <c r="A364" s="1" t="s">
        <v>38</v>
      </c>
      <c r="B364" s="1" t="s">
        <v>35</v>
      </c>
      <c r="C364" s="1">
        <v>2249</v>
      </c>
      <c r="D364" s="1">
        <v>22</v>
      </c>
      <c r="E364" s="1">
        <v>32</v>
      </c>
      <c r="F364" s="1">
        <v>311</v>
      </c>
      <c r="G364" s="24">
        <v>2433.9899999999998</v>
      </c>
      <c r="H364" s="1" t="s">
        <v>12</v>
      </c>
      <c r="I364" s="1" t="s">
        <v>3</v>
      </c>
      <c r="J364" s="1" t="s">
        <v>8</v>
      </c>
      <c r="K364" s="1" t="s">
        <v>1</v>
      </c>
      <c r="L364" s="1" t="s">
        <v>6</v>
      </c>
    </row>
    <row r="365" spans="1:12" x14ac:dyDescent="0.25">
      <c r="A365" s="1" t="s">
        <v>37</v>
      </c>
      <c r="B365" s="1" t="s">
        <v>35</v>
      </c>
      <c r="C365" s="1">
        <v>2731</v>
      </c>
      <c r="D365" s="1">
        <v>16</v>
      </c>
      <c r="E365" s="1">
        <v>41</v>
      </c>
      <c r="F365" s="1">
        <v>327</v>
      </c>
      <c r="G365" s="24">
        <v>1338.38</v>
      </c>
      <c r="H365" s="1" t="s">
        <v>14</v>
      </c>
      <c r="I365" s="1" t="s">
        <v>13</v>
      </c>
      <c r="J365" s="1" t="s">
        <v>18</v>
      </c>
      <c r="K365" s="1" t="s">
        <v>15</v>
      </c>
      <c r="L365" s="1" t="s">
        <v>6</v>
      </c>
    </row>
    <row r="366" spans="1:12" x14ac:dyDescent="0.25">
      <c r="A366" s="1" t="s">
        <v>36</v>
      </c>
      <c r="B366" s="1" t="s">
        <v>35</v>
      </c>
      <c r="C366" s="1">
        <v>2851</v>
      </c>
      <c r="D366" s="1">
        <v>10</v>
      </c>
      <c r="E366" s="1">
        <v>42</v>
      </c>
      <c r="F366" s="1">
        <v>352</v>
      </c>
      <c r="G366" s="24">
        <v>1623.67</v>
      </c>
      <c r="H366" s="1" t="s">
        <v>12</v>
      </c>
      <c r="I366" s="1" t="s">
        <v>3</v>
      </c>
      <c r="J366" s="1" t="s">
        <v>18</v>
      </c>
      <c r="K366" s="1" t="s">
        <v>21</v>
      </c>
      <c r="L366" s="1" t="s">
        <v>6</v>
      </c>
    </row>
    <row r="367" spans="1:12" x14ac:dyDescent="0.25">
      <c r="A367" s="5">
        <v>46023</v>
      </c>
      <c r="B367" s="4" t="s">
        <v>34</v>
      </c>
      <c r="C367" s="4">
        <v>3515</v>
      </c>
      <c r="D367" s="3">
        <v>43</v>
      </c>
      <c r="E367" s="3">
        <v>14</v>
      </c>
      <c r="F367" s="3">
        <v>377</v>
      </c>
      <c r="G367" s="1">
        <v>757.57</v>
      </c>
      <c r="H367" s="1" t="s">
        <v>12</v>
      </c>
      <c r="I367" s="1" t="s">
        <v>3</v>
      </c>
      <c r="J367" s="1" t="s">
        <v>11</v>
      </c>
      <c r="K367" s="1" t="s">
        <v>21</v>
      </c>
      <c r="L367" s="1" t="s">
        <v>6</v>
      </c>
    </row>
    <row r="368" spans="1:12" x14ac:dyDescent="0.25">
      <c r="A368" s="5">
        <v>46024</v>
      </c>
      <c r="B368" s="4" t="s">
        <v>34</v>
      </c>
      <c r="C368" s="4">
        <v>3213</v>
      </c>
      <c r="D368" s="3">
        <v>20</v>
      </c>
      <c r="E368" s="3">
        <v>36</v>
      </c>
      <c r="F368" s="3">
        <v>328</v>
      </c>
      <c r="G368" s="1">
        <v>1136.2</v>
      </c>
      <c r="H368" s="1" t="s">
        <v>4</v>
      </c>
      <c r="I368" s="1" t="s">
        <v>13</v>
      </c>
      <c r="J368" s="1" t="s">
        <v>18</v>
      </c>
      <c r="K368" s="1" t="s">
        <v>1</v>
      </c>
      <c r="L368" s="1" t="s">
        <v>6</v>
      </c>
    </row>
    <row r="369" spans="1:12" x14ac:dyDescent="0.25">
      <c r="A369" s="5">
        <v>46025</v>
      </c>
      <c r="B369" s="4" t="s">
        <v>34</v>
      </c>
      <c r="C369" s="4">
        <v>4652</v>
      </c>
      <c r="D369" s="3">
        <v>26</v>
      </c>
      <c r="E369" s="3">
        <v>47</v>
      </c>
      <c r="F369" s="3">
        <v>345</v>
      </c>
      <c r="G369" s="1">
        <v>2182.9299999999998</v>
      </c>
      <c r="H369" s="1" t="s">
        <v>14</v>
      </c>
      <c r="I369" s="1" t="s">
        <v>13</v>
      </c>
      <c r="J369" s="1" t="s">
        <v>18</v>
      </c>
      <c r="K369" s="1" t="s">
        <v>1</v>
      </c>
      <c r="L369" s="1" t="s">
        <v>6</v>
      </c>
    </row>
    <row r="370" spans="1:12" x14ac:dyDescent="0.25">
      <c r="A370" s="5">
        <v>46026</v>
      </c>
      <c r="B370" s="4" t="s">
        <v>34</v>
      </c>
      <c r="C370" s="4">
        <v>2843</v>
      </c>
      <c r="D370" s="3">
        <v>16</v>
      </c>
      <c r="E370" s="3">
        <v>17</v>
      </c>
      <c r="F370" s="3">
        <v>375</v>
      </c>
      <c r="G370" s="1">
        <v>247.98</v>
      </c>
      <c r="H370" s="1" t="s">
        <v>12</v>
      </c>
      <c r="I370" s="1" t="s">
        <v>3</v>
      </c>
      <c r="J370" s="1" t="s">
        <v>18</v>
      </c>
      <c r="K370" s="1" t="s">
        <v>15</v>
      </c>
      <c r="L370" s="1" t="s">
        <v>6</v>
      </c>
    </row>
    <row r="371" spans="1:12" x14ac:dyDescent="0.25">
      <c r="A371" s="5">
        <v>46027</v>
      </c>
      <c r="B371" s="4" t="s">
        <v>34</v>
      </c>
      <c r="C371" s="4">
        <v>2207</v>
      </c>
      <c r="D371" s="3">
        <v>31</v>
      </c>
      <c r="E371" s="3">
        <v>1</v>
      </c>
      <c r="F371" s="3">
        <v>267</v>
      </c>
      <c r="G371" s="1">
        <v>567.62</v>
      </c>
      <c r="H371" s="1" t="s">
        <v>14</v>
      </c>
      <c r="I371" s="1" t="s">
        <v>3</v>
      </c>
      <c r="J371" s="1" t="s">
        <v>11</v>
      </c>
      <c r="K371" s="1" t="s">
        <v>10</v>
      </c>
      <c r="L371" s="1" t="s">
        <v>6</v>
      </c>
    </row>
    <row r="372" spans="1:12" x14ac:dyDescent="0.25">
      <c r="A372" s="5">
        <v>46028</v>
      </c>
      <c r="B372" s="4" t="s">
        <v>34</v>
      </c>
      <c r="C372" s="4">
        <v>1999</v>
      </c>
      <c r="D372" s="3">
        <v>20</v>
      </c>
      <c r="E372" s="3">
        <v>23</v>
      </c>
      <c r="F372" s="3">
        <v>48</v>
      </c>
      <c r="G372" s="1">
        <v>1736.58</v>
      </c>
      <c r="H372" s="1" t="s">
        <v>14</v>
      </c>
      <c r="I372" s="1" t="s">
        <v>13</v>
      </c>
      <c r="J372" s="1" t="s">
        <v>18</v>
      </c>
      <c r="K372" s="1" t="s">
        <v>7</v>
      </c>
      <c r="L372" s="1" t="s">
        <v>6</v>
      </c>
    </row>
    <row r="373" spans="1:12" x14ac:dyDescent="0.25">
      <c r="A373" s="5">
        <v>46029</v>
      </c>
      <c r="B373" s="4" t="s">
        <v>34</v>
      </c>
      <c r="C373" s="4">
        <v>2497</v>
      </c>
      <c r="D373" s="3">
        <v>16</v>
      </c>
      <c r="E373" s="3">
        <v>31</v>
      </c>
      <c r="F373" s="3">
        <v>92</v>
      </c>
      <c r="G373" s="1">
        <v>1791.42</v>
      </c>
      <c r="H373" s="1" t="s">
        <v>14</v>
      </c>
      <c r="I373" s="1" t="s">
        <v>13</v>
      </c>
      <c r="J373" s="1" t="s">
        <v>11</v>
      </c>
      <c r="K373" s="1" t="s">
        <v>7</v>
      </c>
      <c r="L373" s="1" t="s">
        <v>6</v>
      </c>
    </row>
    <row r="374" spans="1:12" x14ac:dyDescent="0.25">
      <c r="A374" s="5">
        <v>46030</v>
      </c>
      <c r="B374" s="4" t="s">
        <v>34</v>
      </c>
      <c r="C374" s="4">
        <v>1807</v>
      </c>
      <c r="D374" s="3">
        <v>14</v>
      </c>
      <c r="E374" s="3">
        <v>-3</v>
      </c>
      <c r="F374" s="3">
        <v>332</v>
      </c>
      <c r="G374" s="1">
        <v>300.58999999999997</v>
      </c>
      <c r="H374" s="1" t="s">
        <v>29</v>
      </c>
      <c r="I374" s="1" t="s">
        <v>13</v>
      </c>
      <c r="J374" s="1" t="s">
        <v>11</v>
      </c>
      <c r="K374" s="1" t="s">
        <v>10</v>
      </c>
      <c r="L374" s="1" t="s">
        <v>6</v>
      </c>
    </row>
    <row r="375" spans="1:12" x14ac:dyDescent="0.25">
      <c r="A375" s="5">
        <v>46031</v>
      </c>
      <c r="B375" s="4" t="s">
        <v>34</v>
      </c>
      <c r="C375" s="4">
        <v>2530</v>
      </c>
      <c r="D375" s="3">
        <v>24</v>
      </c>
      <c r="E375" s="3">
        <v>29</v>
      </c>
      <c r="F375" s="3">
        <v>300</v>
      </c>
      <c r="G375" s="1">
        <v>907.25</v>
      </c>
      <c r="H375" s="1" t="s">
        <v>25</v>
      </c>
      <c r="I375" s="1" t="s">
        <v>13</v>
      </c>
      <c r="J375" s="1" t="s">
        <v>18</v>
      </c>
      <c r="K375" s="1" t="s">
        <v>10</v>
      </c>
      <c r="L375" s="1" t="s">
        <v>6</v>
      </c>
    </row>
    <row r="376" spans="1:12" x14ac:dyDescent="0.25">
      <c r="A376" s="5">
        <v>46032</v>
      </c>
      <c r="B376" s="4" t="s">
        <v>34</v>
      </c>
      <c r="C376" s="4">
        <v>2724</v>
      </c>
      <c r="D376" s="3">
        <v>7</v>
      </c>
      <c r="E376" s="3">
        <v>20</v>
      </c>
      <c r="F376" s="3">
        <v>224</v>
      </c>
      <c r="G376" s="1">
        <v>1264.42</v>
      </c>
      <c r="H376" s="1" t="s">
        <v>14</v>
      </c>
      <c r="I376" s="1" t="s">
        <v>3</v>
      </c>
      <c r="J376" s="1" t="s">
        <v>18</v>
      </c>
      <c r="K376" s="1" t="s">
        <v>10</v>
      </c>
      <c r="L376" s="1" t="s">
        <v>6</v>
      </c>
    </row>
    <row r="377" spans="1:12" x14ac:dyDescent="0.25">
      <c r="A377" s="5">
        <v>46033</v>
      </c>
      <c r="B377" s="4" t="s">
        <v>34</v>
      </c>
      <c r="C377" s="4">
        <v>2881</v>
      </c>
      <c r="D377" s="3">
        <v>31</v>
      </c>
      <c r="E377" s="3">
        <v>26</v>
      </c>
      <c r="F377" s="3">
        <v>403</v>
      </c>
      <c r="G377" s="1">
        <v>284.5</v>
      </c>
      <c r="H377" s="1" t="s">
        <v>12</v>
      </c>
      <c r="I377" s="1" t="s">
        <v>13</v>
      </c>
      <c r="J377" s="1" t="s">
        <v>2</v>
      </c>
      <c r="K377" s="1" t="s">
        <v>10</v>
      </c>
      <c r="L377" s="1" t="s">
        <v>6</v>
      </c>
    </row>
    <row r="378" spans="1:12" x14ac:dyDescent="0.25">
      <c r="A378" s="5">
        <v>46034</v>
      </c>
      <c r="B378" s="4" t="s">
        <v>34</v>
      </c>
      <c r="C378" s="4">
        <v>5018</v>
      </c>
      <c r="D378" s="3">
        <v>11</v>
      </c>
      <c r="E378" s="3">
        <v>59</v>
      </c>
      <c r="F378" s="3">
        <v>428</v>
      </c>
      <c r="G378" s="1">
        <v>460.3</v>
      </c>
      <c r="H378" s="1" t="s">
        <v>12</v>
      </c>
      <c r="I378" s="1" t="s">
        <v>3</v>
      </c>
      <c r="J378" s="1" t="s">
        <v>11</v>
      </c>
      <c r="K378" s="1" t="s">
        <v>7</v>
      </c>
      <c r="L378" s="1" t="s">
        <v>6</v>
      </c>
    </row>
    <row r="379" spans="1:12" x14ac:dyDescent="0.25">
      <c r="A379" s="5">
        <v>46035</v>
      </c>
      <c r="B379" s="4" t="s">
        <v>34</v>
      </c>
      <c r="C379" s="4">
        <v>1220</v>
      </c>
      <c r="D379" s="3">
        <v>29</v>
      </c>
      <c r="E379" s="3">
        <v>-3</v>
      </c>
      <c r="F379" s="3">
        <v>27</v>
      </c>
      <c r="G379" s="1">
        <v>973.47</v>
      </c>
      <c r="H379" s="1" t="s">
        <v>12</v>
      </c>
      <c r="I379" s="1" t="s">
        <v>13</v>
      </c>
      <c r="J379" s="1" t="s">
        <v>18</v>
      </c>
      <c r="K379" s="1" t="s">
        <v>10</v>
      </c>
      <c r="L379" s="1" t="s">
        <v>6</v>
      </c>
    </row>
    <row r="380" spans="1:12" x14ac:dyDescent="0.25">
      <c r="A380" s="5">
        <v>46036</v>
      </c>
      <c r="B380" s="4" t="s">
        <v>34</v>
      </c>
      <c r="C380" s="4">
        <v>2152</v>
      </c>
      <c r="D380" s="3">
        <v>29</v>
      </c>
      <c r="E380" s="3">
        <v>37</v>
      </c>
      <c r="F380" s="3">
        <v>422</v>
      </c>
      <c r="G380" s="1">
        <v>2138.0700000000002</v>
      </c>
      <c r="H380" s="1" t="s">
        <v>29</v>
      </c>
      <c r="I380" s="1" t="s">
        <v>3</v>
      </c>
      <c r="J380" s="1" t="s">
        <v>2</v>
      </c>
      <c r="K380" s="1" t="s">
        <v>7</v>
      </c>
      <c r="L380" s="1" t="s">
        <v>6</v>
      </c>
    </row>
    <row r="381" spans="1:12" x14ac:dyDescent="0.25">
      <c r="A381" s="5">
        <v>46037</v>
      </c>
      <c r="B381" s="4" t="s">
        <v>34</v>
      </c>
      <c r="C381" s="4">
        <v>1280</v>
      </c>
      <c r="D381" s="3">
        <v>17</v>
      </c>
      <c r="E381" s="3">
        <v>11</v>
      </c>
      <c r="F381" s="3">
        <v>91</v>
      </c>
      <c r="G381" s="1">
        <v>1044.25</v>
      </c>
      <c r="H381" s="1" t="s">
        <v>4</v>
      </c>
      <c r="I381" s="1" t="s">
        <v>13</v>
      </c>
      <c r="J381" s="1" t="s">
        <v>18</v>
      </c>
      <c r="K381" s="1" t="s">
        <v>10</v>
      </c>
      <c r="L381" s="1" t="s">
        <v>6</v>
      </c>
    </row>
    <row r="382" spans="1:12" x14ac:dyDescent="0.25">
      <c r="A382" s="5">
        <v>46038</v>
      </c>
      <c r="B382" s="4" t="s">
        <v>34</v>
      </c>
      <c r="C382" s="4">
        <v>2237</v>
      </c>
      <c r="D382" s="3">
        <v>20</v>
      </c>
      <c r="E382" s="3">
        <v>24</v>
      </c>
      <c r="F382" s="3">
        <v>209</v>
      </c>
      <c r="G382" s="1">
        <v>1563.36</v>
      </c>
      <c r="H382" s="1" t="s">
        <v>14</v>
      </c>
      <c r="I382" s="1" t="s">
        <v>3</v>
      </c>
      <c r="J382" s="1" t="s">
        <v>8</v>
      </c>
      <c r="K382" s="1" t="s">
        <v>10</v>
      </c>
      <c r="L382" s="1" t="s">
        <v>33</v>
      </c>
    </row>
    <row r="383" spans="1:12" x14ac:dyDescent="0.25">
      <c r="A383" s="5">
        <v>46039</v>
      </c>
      <c r="B383" s="4" t="s">
        <v>34</v>
      </c>
      <c r="C383" s="4">
        <v>4329</v>
      </c>
      <c r="D383" s="3">
        <v>13</v>
      </c>
      <c r="E383" s="3">
        <v>34</v>
      </c>
      <c r="F383" s="3">
        <v>384</v>
      </c>
      <c r="G383" s="1">
        <v>1050.19</v>
      </c>
      <c r="H383" s="1" t="s">
        <v>12</v>
      </c>
      <c r="I383" s="1" t="s">
        <v>13</v>
      </c>
      <c r="J383" s="1" t="s">
        <v>18</v>
      </c>
      <c r="K383" s="1" t="s">
        <v>10</v>
      </c>
      <c r="L383" s="1" t="s">
        <v>33</v>
      </c>
    </row>
    <row r="384" spans="1:12" x14ac:dyDescent="0.25">
      <c r="A384" s="5">
        <v>46040</v>
      </c>
      <c r="B384" s="4" t="s">
        <v>34</v>
      </c>
      <c r="C384" s="4">
        <v>4286</v>
      </c>
      <c r="D384" s="3">
        <v>20</v>
      </c>
      <c r="E384" s="3">
        <v>52</v>
      </c>
      <c r="F384" s="3">
        <v>262</v>
      </c>
      <c r="G384" s="1">
        <v>143.46</v>
      </c>
      <c r="H384" s="1" t="s">
        <v>12</v>
      </c>
      <c r="I384" s="1" t="s">
        <v>13</v>
      </c>
      <c r="J384" s="1" t="s">
        <v>11</v>
      </c>
      <c r="K384" s="1" t="s">
        <v>1</v>
      </c>
      <c r="L384" s="1" t="s">
        <v>33</v>
      </c>
    </row>
    <row r="385" spans="1:12" x14ac:dyDescent="0.25">
      <c r="A385" s="5">
        <v>46041</v>
      </c>
      <c r="B385" s="4" t="s">
        <v>34</v>
      </c>
      <c r="C385" s="4">
        <v>2024</v>
      </c>
      <c r="D385" s="3">
        <v>21</v>
      </c>
      <c r="E385" s="3">
        <v>18</v>
      </c>
      <c r="F385" s="3">
        <v>440</v>
      </c>
      <c r="G385" s="1">
        <v>1532.4</v>
      </c>
      <c r="H385" s="1" t="s">
        <v>14</v>
      </c>
      <c r="I385" s="1" t="s">
        <v>13</v>
      </c>
      <c r="J385" s="1" t="s">
        <v>2</v>
      </c>
      <c r="K385" s="1" t="s">
        <v>10</v>
      </c>
      <c r="L385" s="1" t="s">
        <v>33</v>
      </c>
    </row>
    <row r="386" spans="1:12" x14ac:dyDescent="0.25">
      <c r="A386" s="5">
        <v>46042</v>
      </c>
      <c r="B386" s="4" t="s">
        <v>34</v>
      </c>
      <c r="C386" s="4">
        <v>2507</v>
      </c>
      <c r="D386" s="3">
        <v>8</v>
      </c>
      <c r="E386" s="3">
        <v>16</v>
      </c>
      <c r="F386" s="3">
        <v>95</v>
      </c>
      <c r="G386" s="1">
        <v>1092.83</v>
      </c>
      <c r="H386" s="1" t="s">
        <v>12</v>
      </c>
      <c r="I386" s="1" t="s">
        <v>13</v>
      </c>
      <c r="J386" s="1" t="s">
        <v>18</v>
      </c>
      <c r="K386" s="1" t="s">
        <v>10</v>
      </c>
      <c r="L386" s="1" t="s">
        <v>33</v>
      </c>
    </row>
    <row r="387" spans="1:12" x14ac:dyDescent="0.25">
      <c r="A387" s="5">
        <v>46043</v>
      </c>
      <c r="B387" s="4" t="s">
        <v>34</v>
      </c>
      <c r="C387" s="4">
        <v>2446</v>
      </c>
      <c r="D387" s="3">
        <v>13</v>
      </c>
      <c r="E387" s="3">
        <v>41</v>
      </c>
      <c r="F387" s="3">
        <v>199</v>
      </c>
      <c r="G387" s="1">
        <v>1440.69</v>
      </c>
      <c r="H387" s="1" t="s">
        <v>14</v>
      </c>
      <c r="I387" s="1" t="s">
        <v>13</v>
      </c>
      <c r="J387" s="1" t="s">
        <v>18</v>
      </c>
      <c r="K387" s="1" t="s">
        <v>17</v>
      </c>
      <c r="L387" s="1" t="s">
        <v>33</v>
      </c>
    </row>
    <row r="388" spans="1:12" x14ac:dyDescent="0.25">
      <c r="A388" s="5">
        <v>46044</v>
      </c>
      <c r="B388" s="4" t="s">
        <v>34</v>
      </c>
      <c r="C388" s="4">
        <v>3250</v>
      </c>
      <c r="D388" s="3">
        <v>25</v>
      </c>
      <c r="E388" s="3">
        <v>40</v>
      </c>
      <c r="F388" s="3">
        <v>324</v>
      </c>
      <c r="G388" s="1">
        <v>2110.27</v>
      </c>
      <c r="H388" s="1" t="s">
        <v>25</v>
      </c>
      <c r="I388" s="1" t="s">
        <v>13</v>
      </c>
      <c r="J388" s="1" t="s">
        <v>11</v>
      </c>
      <c r="K388" s="1" t="s">
        <v>7</v>
      </c>
      <c r="L388" s="1" t="s">
        <v>33</v>
      </c>
    </row>
    <row r="389" spans="1:12" x14ac:dyDescent="0.25">
      <c r="A389" s="5">
        <v>46045</v>
      </c>
      <c r="B389" s="4" t="s">
        <v>34</v>
      </c>
      <c r="C389" s="4">
        <v>3082</v>
      </c>
      <c r="D389" s="3">
        <v>19</v>
      </c>
      <c r="E389" s="3">
        <v>29</v>
      </c>
      <c r="F389" s="3">
        <v>281</v>
      </c>
      <c r="G389" s="1">
        <v>2139.15</v>
      </c>
      <c r="H389" s="1" t="s">
        <v>19</v>
      </c>
      <c r="I389" s="1" t="s">
        <v>3</v>
      </c>
      <c r="J389" s="1" t="s">
        <v>11</v>
      </c>
      <c r="K389" s="1" t="s">
        <v>1</v>
      </c>
      <c r="L389" s="1" t="s">
        <v>33</v>
      </c>
    </row>
    <row r="390" spans="1:12" x14ac:dyDescent="0.25">
      <c r="A390" s="5">
        <v>46046</v>
      </c>
      <c r="B390" s="4" t="s">
        <v>34</v>
      </c>
      <c r="C390" s="4">
        <v>3332</v>
      </c>
      <c r="D390" s="3">
        <v>18</v>
      </c>
      <c r="E390" s="3">
        <v>-3</v>
      </c>
      <c r="F390" s="3">
        <v>323</v>
      </c>
      <c r="G390" s="1">
        <v>1414.69</v>
      </c>
      <c r="H390" s="1" t="s">
        <v>4</v>
      </c>
      <c r="I390" s="1" t="s">
        <v>13</v>
      </c>
      <c r="J390" s="1" t="s">
        <v>11</v>
      </c>
      <c r="K390" s="1" t="s">
        <v>7</v>
      </c>
      <c r="L390" s="1" t="s">
        <v>33</v>
      </c>
    </row>
    <row r="391" spans="1:12" x14ac:dyDescent="0.25">
      <c r="A391" s="5">
        <v>46047</v>
      </c>
      <c r="B391" s="4" t="s">
        <v>34</v>
      </c>
      <c r="C391" s="4">
        <v>1681</v>
      </c>
      <c r="D391" s="3">
        <v>16</v>
      </c>
      <c r="E391" s="3">
        <v>20</v>
      </c>
      <c r="F391" s="3">
        <v>42</v>
      </c>
      <c r="G391" s="1">
        <v>1265.01</v>
      </c>
      <c r="H391" s="1" t="s">
        <v>12</v>
      </c>
      <c r="I391" s="1" t="s">
        <v>13</v>
      </c>
      <c r="J391" s="1" t="s">
        <v>8</v>
      </c>
      <c r="K391" s="1" t="s">
        <v>1</v>
      </c>
      <c r="L391" s="1" t="s">
        <v>33</v>
      </c>
    </row>
    <row r="392" spans="1:12" x14ac:dyDescent="0.25">
      <c r="A392" s="5">
        <v>46048</v>
      </c>
      <c r="B392" s="4" t="s">
        <v>34</v>
      </c>
      <c r="C392" s="4">
        <v>2809</v>
      </c>
      <c r="D392" s="3">
        <v>22</v>
      </c>
      <c r="E392" s="3">
        <v>10</v>
      </c>
      <c r="F392" s="3">
        <v>253</v>
      </c>
      <c r="G392" s="1">
        <v>693.09</v>
      </c>
      <c r="H392" s="1" t="s">
        <v>12</v>
      </c>
      <c r="I392" s="1" t="s">
        <v>13</v>
      </c>
      <c r="J392" s="1" t="s">
        <v>18</v>
      </c>
      <c r="K392" s="1" t="s">
        <v>10</v>
      </c>
      <c r="L392" s="1" t="s">
        <v>33</v>
      </c>
    </row>
    <row r="393" spans="1:12" x14ac:dyDescent="0.25">
      <c r="A393" s="5">
        <v>46049</v>
      </c>
      <c r="B393" s="4" t="s">
        <v>34</v>
      </c>
      <c r="C393" s="4">
        <v>3365</v>
      </c>
      <c r="D393" s="3">
        <v>23</v>
      </c>
      <c r="E393" s="3">
        <v>36</v>
      </c>
      <c r="F393" s="3">
        <v>276</v>
      </c>
      <c r="G393" s="1">
        <v>2082.5700000000002</v>
      </c>
      <c r="H393" s="1" t="s">
        <v>4</v>
      </c>
      <c r="I393" s="1" t="s">
        <v>13</v>
      </c>
      <c r="J393" s="1" t="s">
        <v>18</v>
      </c>
      <c r="K393" s="1" t="s">
        <v>1</v>
      </c>
      <c r="L393" s="1" t="s">
        <v>33</v>
      </c>
    </row>
    <row r="394" spans="1:12" x14ac:dyDescent="0.25">
      <c r="A394" s="5">
        <v>46050</v>
      </c>
      <c r="B394" s="4" t="s">
        <v>34</v>
      </c>
      <c r="C394" s="4">
        <v>4645</v>
      </c>
      <c r="D394" s="3">
        <v>21</v>
      </c>
      <c r="E394" s="3">
        <v>53</v>
      </c>
      <c r="F394" s="3">
        <v>118</v>
      </c>
      <c r="G394" s="1">
        <v>267.43</v>
      </c>
      <c r="H394" s="1" t="s">
        <v>12</v>
      </c>
      <c r="I394" s="1" t="s">
        <v>13</v>
      </c>
      <c r="J394" s="1" t="s">
        <v>18</v>
      </c>
      <c r="K394" s="1" t="s">
        <v>7</v>
      </c>
      <c r="L394" s="1" t="s">
        <v>33</v>
      </c>
    </row>
    <row r="395" spans="1:12" x14ac:dyDescent="0.25">
      <c r="A395" s="5">
        <v>46051</v>
      </c>
      <c r="B395" s="4" t="s">
        <v>34</v>
      </c>
      <c r="C395" s="4">
        <v>1275</v>
      </c>
      <c r="D395" s="3">
        <v>17</v>
      </c>
      <c r="E395" s="3">
        <v>19</v>
      </c>
      <c r="F395" s="3">
        <v>34</v>
      </c>
      <c r="G395" s="1">
        <v>2416.9499999999998</v>
      </c>
      <c r="H395" s="1" t="s">
        <v>12</v>
      </c>
      <c r="I395" s="1" t="s">
        <v>3</v>
      </c>
      <c r="J395" s="1" t="s">
        <v>18</v>
      </c>
      <c r="K395" s="1" t="s">
        <v>10</v>
      </c>
      <c r="L395" s="1" t="s">
        <v>33</v>
      </c>
    </row>
    <row r="396" spans="1:12" x14ac:dyDescent="0.25">
      <c r="A396" s="5">
        <v>46052</v>
      </c>
      <c r="B396" s="4" t="s">
        <v>34</v>
      </c>
      <c r="C396" s="4">
        <v>3184</v>
      </c>
      <c r="D396" s="3">
        <v>20</v>
      </c>
      <c r="E396" s="3">
        <v>30</v>
      </c>
      <c r="F396" s="3">
        <v>263</v>
      </c>
      <c r="G396" s="1">
        <v>91.12</v>
      </c>
      <c r="H396" s="1" t="s">
        <v>14</v>
      </c>
      <c r="I396" s="1" t="s">
        <v>13</v>
      </c>
      <c r="J396" s="1" t="s">
        <v>18</v>
      </c>
      <c r="K396" s="1" t="s">
        <v>7</v>
      </c>
      <c r="L396" s="1" t="s">
        <v>33</v>
      </c>
    </row>
    <row r="397" spans="1:12" x14ac:dyDescent="0.25">
      <c r="A397" s="5">
        <v>46053</v>
      </c>
      <c r="B397" s="4" t="s">
        <v>34</v>
      </c>
      <c r="C397" s="4">
        <v>3066</v>
      </c>
      <c r="D397" s="3">
        <v>20</v>
      </c>
      <c r="E397" s="3">
        <v>22</v>
      </c>
      <c r="F397" s="3">
        <v>340</v>
      </c>
      <c r="G397" s="1">
        <v>1316.84</v>
      </c>
      <c r="H397" s="1" t="s">
        <v>12</v>
      </c>
      <c r="I397" s="1" t="s">
        <v>3</v>
      </c>
      <c r="J397" s="1" t="s">
        <v>2</v>
      </c>
      <c r="K397" s="1" t="s">
        <v>7</v>
      </c>
      <c r="L397" s="1" t="s">
        <v>33</v>
      </c>
    </row>
    <row r="398" spans="1:12" x14ac:dyDescent="0.25">
      <c r="A398" s="5">
        <v>46054</v>
      </c>
      <c r="B398" s="4" t="s">
        <v>32</v>
      </c>
      <c r="C398" s="4">
        <v>3674</v>
      </c>
      <c r="D398" s="3">
        <v>25</v>
      </c>
      <c r="E398" s="3">
        <v>42</v>
      </c>
      <c r="F398" s="3">
        <v>81</v>
      </c>
      <c r="G398" s="1">
        <v>1873.85</v>
      </c>
      <c r="H398" s="1" t="s">
        <v>12</v>
      </c>
      <c r="I398" s="1" t="s">
        <v>13</v>
      </c>
      <c r="J398" s="1" t="s">
        <v>18</v>
      </c>
      <c r="K398" s="1" t="s">
        <v>17</v>
      </c>
      <c r="L398" s="1" t="s">
        <v>33</v>
      </c>
    </row>
    <row r="399" spans="1:12" x14ac:dyDescent="0.25">
      <c r="A399" s="5">
        <v>46055</v>
      </c>
      <c r="B399" s="4" t="s">
        <v>32</v>
      </c>
      <c r="C399" s="4">
        <v>2133</v>
      </c>
      <c r="D399" s="3">
        <v>18</v>
      </c>
      <c r="E399" s="3">
        <v>12</v>
      </c>
      <c r="F399" s="3">
        <v>80</v>
      </c>
      <c r="G399" s="1">
        <v>880.99</v>
      </c>
      <c r="H399" s="1" t="s">
        <v>29</v>
      </c>
      <c r="I399" s="1" t="s">
        <v>13</v>
      </c>
      <c r="J399" s="1" t="s">
        <v>11</v>
      </c>
      <c r="K399" s="1" t="s">
        <v>7</v>
      </c>
      <c r="L399" s="1" t="s">
        <v>33</v>
      </c>
    </row>
    <row r="400" spans="1:12" x14ac:dyDescent="0.25">
      <c r="A400" s="5">
        <v>46056</v>
      </c>
      <c r="B400" s="4" t="s">
        <v>32</v>
      </c>
      <c r="C400" s="4">
        <v>1443</v>
      </c>
      <c r="D400" s="3">
        <v>13</v>
      </c>
      <c r="E400" s="3">
        <v>2</v>
      </c>
      <c r="F400" s="3">
        <v>282</v>
      </c>
      <c r="G400" s="1">
        <v>516.53</v>
      </c>
      <c r="H400" s="1" t="s">
        <v>4</v>
      </c>
      <c r="I400" s="1" t="s">
        <v>13</v>
      </c>
      <c r="J400" s="1" t="s">
        <v>2</v>
      </c>
      <c r="K400" s="1" t="s">
        <v>10</v>
      </c>
      <c r="L400" s="1" t="s">
        <v>33</v>
      </c>
    </row>
    <row r="401" spans="1:12" x14ac:dyDescent="0.25">
      <c r="A401" s="5">
        <v>46057</v>
      </c>
      <c r="B401" s="4" t="s">
        <v>32</v>
      </c>
      <c r="C401" s="4">
        <v>2752</v>
      </c>
      <c r="D401" s="3">
        <v>15</v>
      </c>
      <c r="E401" s="3">
        <v>30</v>
      </c>
      <c r="F401" s="3">
        <v>101</v>
      </c>
      <c r="G401" s="1">
        <v>1463.55</v>
      </c>
      <c r="H401" s="1" t="s">
        <v>25</v>
      </c>
      <c r="I401" s="1" t="s">
        <v>3</v>
      </c>
      <c r="J401" s="1" t="s">
        <v>18</v>
      </c>
      <c r="K401" s="1" t="s">
        <v>7</v>
      </c>
      <c r="L401" s="1" t="s">
        <v>33</v>
      </c>
    </row>
    <row r="402" spans="1:12" x14ac:dyDescent="0.25">
      <c r="A402" s="5">
        <v>46058</v>
      </c>
      <c r="B402" s="4" t="s">
        <v>32</v>
      </c>
      <c r="C402" s="4">
        <v>676</v>
      </c>
      <c r="D402" s="3">
        <v>12</v>
      </c>
      <c r="E402" s="3">
        <v>46</v>
      </c>
      <c r="F402" s="3">
        <v>144</v>
      </c>
      <c r="G402" s="1">
        <v>1120.6199999999999</v>
      </c>
      <c r="H402" s="1" t="s">
        <v>19</v>
      </c>
      <c r="I402" s="1" t="s">
        <v>3</v>
      </c>
      <c r="J402" s="1" t="s">
        <v>18</v>
      </c>
      <c r="K402" s="1" t="s">
        <v>10</v>
      </c>
      <c r="L402" s="1" t="s">
        <v>33</v>
      </c>
    </row>
    <row r="403" spans="1:12" x14ac:dyDescent="0.25">
      <c r="A403" s="5">
        <v>46059</v>
      </c>
      <c r="B403" s="4" t="s">
        <v>32</v>
      </c>
      <c r="C403" s="4">
        <v>2983</v>
      </c>
      <c r="D403" s="3">
        <v>25</v>
      </c>
      <c r="E403" s="3">
        <v>1</v>
      </c>
      <c r="F403" s="3">
        <v>312</v>
      </c>
      <c r="G403" s="1">
        <v>512.23</v>
      </c>
      <c r="H403" s="1" t="s">
        <v>4</v>
      </c>
      <c r="I403" s="1" t="s">
        <v>13</v>
      </c>
      <c r="J403" s="1" t="s">
        <v>11</v>
      </c>
      <c r="K403" s="1" t="s">
        <v>10</v>
      </c>
      <c r="L403" s="1" t="s">
        <v>33</v>
      </c>
    </row>
    <row r="404" spans="1:12" x14ac:dyDescent="0.25">
      <c r="A404" s="5">
        <v>46060</v>
      </c>
      <c r="B404" s="4" t="s">
        <v>32</v>
      </c>
      <c r="C404" s="4">
        <v>2672</v>
      </c>
      <c r="D404" s="3">
        <v>11</v>
      </c>
      <c r="E404" s="3">
        <v>18</v>
      </c>
      <c r="F404" s="3">
        <v>363</v>
      </c>
      <c r="G404" s="1">
        <v>78.67</v>
      </c>
      <c r="H404" s="1" t="s">
        <v>12</v>
      </c>
      <c r="I404" s="1" t="s">
        <v>3</v>
      </c>
      <c r="J404" s="1" t="s">
        <v>18</v>
      </c>
      <c r="K404" s="1" t="s">
        <v>10</v>
      </c>
      <c r="L404" s="1" t="s">
        <v>33</v>
      </c>
    </row>
    <row r="405" spans="1:12" x14ac:dyDescent="0.25">
      <c r="A405" s="5">
        <v>46061</v>
      </c>
      <c r="B405" s="4" t="s">
        <v>32</v>
      </c>
      <c r="C405" s="4">
        <v>5249</v>
      </c>
      <c r="D405" s="3">
        <v>7</v>
      </c>
      <c r="E405" s="3">
        <v>48</v>
      </c>
      <c r="F405" s="3">
        <v>173</v>
      </c>
      <c r="G405" s="1">
        <v>132</v>
      </c>
      <c r="H405" s="1" t="s">
        <v>12</v>
      </c>
      <c r="I405" s="1" t="s">
        <v>13</v>
      </c>
      <c r="J405" s="1" t="s">
        <v>18</v>
      </c>
      <c r="K405" s="1" t="s">
        <v>10</v>
      </c>
      <c r="L405" s="1" t="s">
        <v>33</v>
      </c>
    </row>
    <row r="406" spans="1:12" x14ac:dyDescent="0.25">
      <c r="A406" s="5">
        <v>46062</v>
      </c>
      <c r="B406" s="4" t="s">
        <v>32</v>
      </c>
      <c r="C406" s="4">
        <v>3383</v>
      </c>
      <c r="D406" s="3">
        <v>33</v>
      </c>
      <c r="E406" s="3">
        <v>28</v>
      </c>
      <c r="F406" s="3">
        <v>407</v>
      </c>
      <c r="G406" s="1">
        <v>2068.5100000000002</v>
      </c>
      <c r="H406" s="1" t="s">
        <v>12</v>
      </c>
      <c r="I406" s="1" t="s">
        <v>13</v>
      </c>
      <c r="J406" s="1" t="s">
        <v>18</v>
      </c>
      <c r="K406" s="1" t="s">
        <v>7</v>
      </c>
      <c r="L406" s="1" t="s">
        <v>33</v>
      </c>
    </row>
    <row r="407" spans="1:12" x14ac:dyDescent="0.25">
      <c r="A407" s="5">
        <v>46063</v>
      </c>
      <c r="B407" s="4" t="s">
        <v>32</v>
      </c>
      <c r="C407" s="4">
        <v>3577</v>
      </c>
      <c r="D407" s="3">
        <v>16</v>
      </c>
      <c r="E407" s="3">
        <v>44</v>
      </c>
      <c r="F407" s="3">
        <v>227</v>
      </c>
      <c r="G407" s="1">
        <v>1031.05</v>
      </c>
      <c r="H407" s="1" t="s">
        <v>14</v>
      </c>
      <c r="I407" s="1" t="s">
        <v>13</v>
      </c>
      <c r="J407" s="1" t="s">
        <v>18</v>
      </c>
      <c r="K407" s="1" t="s">
        <v>10</v>
      </c>
      <c r="L407" s="1" t="s">
        <v>16</v>
      </c>
    </row>
    <row r="408" spans="1:12" x14ac:dyDescent="0.25">
      <c r="A408" s="5">
        <v>46064</v>
      </c>
      <c r="B408" s="4" t="s">
        <v>32</v>
      </c>
      <c r="C408" s="4">
        <v>1983</v>
      </c>
      <c r="D408" s="3">
        <v>30</v>
      </c>
      <c r="E408" s="3">
        <v>14</v>
      </c>
      <c r="F408" s="3">
        <v>223</v>
      </c>
      <c r="G408" s="1">
        <v>967.1</v>
      </c>
      <c r="H408" s="1" t="s">
        <v>19</v>
      </c>
      <c r="I408" s="1" t="s">
        <v>13</v>
      </c>
      <c r="J408" s="1" t="s">
        <v>18</v>
      </c>
      <c r="K408" s="1" t="s">
        <v>10</v>
      </c>
      <c r="L408" s="1" t="s">
        <v>16</v>
      </c>
    </row>
    <row r="409" spans="1:12" x14ac:dyDescent="0.25">
      <c r="A409" s="5">
        <v>46065</v>
      </c>
      <c r="B409" s="4" t="s">
        <v>32</v>
      </c>
      <c r="C409" s="4">
        <v>3959</v>
      </c>
      <c r="D409" s="3">
        <v>24</v>
      </c>
      <c r="E409" s="3">
        <v>38</v>
      </c>
      <c r="F409" s="3">
        <v>431</v>
      </c>
      <c r="G409" s="1">
        <v>121.74</v>
      </c>
      <c r="H409" s="1" t="s">
        <v>14</v>
      </c>
      <c r="I409" s="1" t="s">
        <v>13</v>
      </c>
      <c r="J409" s="1" t="s">
        <v>18</v>
      </c>
      <c r="K409" s="1" t="s">
        <v>10</v>
      </c>
      <c r="L409" s="1" t="s">
        <v>16</v>
      </c>
    </row>
    <row r="410" spans="1:12" x14ac:dyDescent="0.25">
      <c r="A410" s="5">
        <v>46066</v>
      </c>
      <c r="B410" s="4" t="s">
        <v>32</v>
      </c>
      <c r="C410" s="4">
        <v>1757</v>
      </c>
      <c r="D410" s="3">
        <v>22</v>
      </c>
      <c r="E410" s="3">
        <v>31</v>
      </c>
      <c r="F410" s="3">
        <v>31</v>
      </c>
      <c r="G410" s="1">
        <v>331.33</v>
      </c>
      <c r="H410" s="1" t="s">
        <v>14</v>
      </c>
      <c r="I410" s="1" t="s">
        <v>13</v>
      </c>
      <c r="J410" s="1" t="s">
        <v>18</v>
      </c>
      <c r="K410" s="1" t="s">
        <v>10</v>
      </c>
      <c r="L410" s="1" t="s">
        <v>16</v>
      </c>
    </row>
    <row r="411" spans="1:12" x14ac:dyDescent="0.25">
      <c r="A411" s="5">
        <v>46067</v>
      </c>
      <c r="B411" s="4" t="s">
        <v>32</v>
      </c>
      <c r="C411" s="4">
        <v>4562</v>
      </c>
      <c r="D411" s="3">
        <v>34</v>
      </c>
      <c r="E411" s="3">
        <v>54</v>
      </c>
      <c r="F411" s="3">
        <v>279</v>
      </c>
      <c r="G411" s="1">
        <v>810.93</v>
      </c>
      <c r="H411" s="1" t="s">
        <v>12</v>
      </c>
      <c r="I411" s="1" t="s">
        <v>3</v>
      </c>
      <c r="J411" s="1" t="s">
        <v>18</v>
      </c>
      <c r="K411" s="1" t="s">
        <v>17</v>
      </c>
      <c r="L411" s="1" t="s">
        <v>16</v>
      </c>
    </row>
    <row r="412" spans="1:12" x14ac:dyDescent="0.25">
      <c r="A412" s="5">
        <v>46068</v>
      </c>
      <c r="B412" s="4" t="s">
        <v>32</v>
      </c>
      <c r="C412" s="4">
        <v>4709</v>
      </c>
      <c r="D412" s="3">
        <v>22</v>
      </c>
      <c r="E412" s="3">
        <v>41</v>
      </c>
      <c r="F412" s="3">
        <v>88</v>
      </c>
      <c r="G412" s="1">
        <v>952.18</v>
      </c>
      <c r="H412" s="1" t="s">
        <v>12</v>
      </c>
      <c r="I412" s="1" t="s">
        <v>13</v>
      </c>
      <c r="J412" s="1" t="s">
        <v>18</v>
      </c>
      <c r="K412" s="1" t="s">
        <v>10</v>
      </c>
      <c r="L412" s="1" t="s">
        <v>16</v>
      </c>
    </row>
    <row r="413" spans="1:12" x14ac:dyDescent="0.25">
      <c r="A413" s="5">
        <v>46069</v>
      </c>
      <c r="B413" s="4" t="s">
        <v>32</v>
      </c>
      <c r="C413" s="4">
        <v>2328</v>
      </c>
      <c r="D413" s="3">
        <v>16</v>
      </c>
      <c r="E413" s="3">
        <v>14</v>
      </c>
      <c r="F413" s="3">
        <v>241</v>
      </c>
      <c r="G413" s="1">
        <v>1570.59</v>
      </c>
      <c r="H413" s="1" t="s">
        <v>14</v>
      </c>
      <c r="I413" s="1" t="s">
        <v>13</v>
      </c>
      <c r="J413" s="1" t="s">
        <v>11</v>
      </c>
      <c r="K413" s="1" t="s">
        <v>17</v>
      </c>
      <c r="L413" s="1" t="s">
        <v>16</v>
      </c>
    </row>
    <row r="414" spans="1:12" x14ac:dyDescent="0.25">
      <c r="A414" s="5">
        <v>46070</v>
      </c>
      <c r="B414" s="4" t="s">
        <v>32</v>
      </c>
      <c r="C414" s="4">
        <v>1788</v>
      </c>
      <c r="D414" s="3">
        <v>18</v>
      </c>
      <c r="E414" s="3">
        <v>13</v>
      </c>
      <c r="F414" s="3">
        <v>379</v>
      </c>
      <c r="G414" s="1">
        <v>261.06</v>
      </c>
      <c r="H414" s="1" t="s">
        <v>14</v>
      </c>
      <c r="I414" s="1" t="s">
        <v>3</v>
      </c>
      <c r="J414" s="1" t="s">
        <v>18</v>
      </c>
      <c r="K414" s="1" t="s">
        <v>7</v>
      </c>
      <c r="L414" s="1" t="s">
        <v>16</v>
      </c>
    </row>
    <row r="415" spans="1:12" x14ac:dyDescent="0.25">
      <c r="A415" s="5">
        <v>46071</v>
      </c>
      <c r="B415" s="4" t="s">
        <v>32</v>
      </c>
      <c r="C415" s="4">
        <v>2990</v>
      </c>
      <c r="D415" s="3">
        <v>10</v>
      </c>
      <c r="E415" s="3">
        <v>10</v>
      </c>
      <c r="F415" s="3">
        <v>214</v>
      </c>
      <c r="G415" s="1">
        <v>1496.09</v>
      </c>
      <c r="H415" s="1" t="s">
        <v>14</v>
      </c>
      <c r="I415" s="1" t="s">
        <v>13</v>
      </c>
      <c r="J415" s="1" t="s">
        <v>11</v>
      </c>
      <c r="K415" s="1" t="s">
        <v>1</v>
      </c>
      <c r="L415" s="1" t="s">
        <v>16</v>
      </c>
    </row>
    <row r="416" spans="1:12" x14ac:dyDescent="0.25">
      <c r="A416" s="5">
        <v>46072</v>
      </c>
      <c r="B416" s="4" t="s">
        <v>32</v>
      </c>
      <c r="C416" s="4">
        <v>2593</v>
      </c>
      <c r="D416" s="3">
        <v>25</v>
      </c>
      <c r="E416" s="3">
        <v>16</v>
      </c>
      <c r="F416" s="3">
        <v>290</v>
      </c>
      <c r="G416" s="1">
        <v>244.13</v>
      </c>
      <c r="H416" s="1" t="s">
        <v>14</v>
      </c>
      <c r="I416" s="1" t="s">
        <v>13</v>
      </c>
      <c r="J416" s="1" t="s">
        <v>18</v>
      </c>
      <c r="K416" s="1" t="s">
        <v>7</v>
      </c>
      <c r="L416" s="1" t="s">
        <v>16</v>
      </c>
    </row>
    <row r="417" spans="1:12" x14ac:dyDescent="0.25">
      <c r="A417" s="5">
        <v>46073</v>
      </c>
      <c r="B417" s="4" t="s">
        <v>32</v>
      </c>
      <c r="C417" s="4">
        <v>2565</v>
      </c>
      <c r="D417" s="3">
        <v>27</v>
      </c>
      <c r="E417" s="3">
        <v>21</v>
      </c>
      <c r="F417" s="3">
        <v>444</v>
      </c>
      <c r="G417" s="1">
        <v>1076.1099999999999</v>
      </c>
      <c r="H417" s="1" t="s">
        <v>29</v>
      </c>
      <c r="I417" s="1" t="s">
        <v>13</v>
      </c>
      <c r="J417" s="1" t="s">
        <v>11</v>
      </c>
      <c r="K417" s="1" t="s">
        <v>1</v>
      </c>
      <c r="L417" s="1" t="s">
        <v>16</v>
      </c>
    </row>
    <row r="418" spans="1:12" x14ac:dyDescent="0.25">
      <c r="A418" s="5">
        <v>46074</v>
      </c>
      <c r="B418" s="4" t="s">
        <v>32</v>
      </c>
      <c r="C418" s="4">
        <v>3585</v>
      </c>
      <c r="D418" s="3">
        <v>28</v>
      </c>
      <c r="E418" s="3">
        <v>47</v>
      </c>
      <c r="F418" s="3">
        <v>201</v>
      </c>
      <c r="G418" s="1">
        <v>1966.4</v>
      </c>
      <c r="H418" s="1" t="s">
        <v>12</v>
      </c>
      <c r="I418" s="1" t="s">
        <v>13</v>
      </c>
      <c r="J418" s="1" t="s">
        <v>18</v>
      </c>
      <c r="K418" s="1" t="s">
        <v>10</v>
      </c>
      <c r="L418" s="1" t="s">
        <v>16</v>
      </c>
    </row>
    <row r="419" spans="1:12" x14ac:dyDescent="0.25">
      <c r="A419" s="5">
        <v>46075</v>
      </c>
      <c r="B419" s="4" t="s">
        <v>32</v>
      </c>
      <c r="C419" s="4">
        <v>2039</v>
      </c>
      <c r="D419" s="3">
        <v>27</v>
      </c>
      <c r="E419" s="3">
        <v>11</v>
      </c>
      <c r="F419" s="3">
        <v>206</v>
      </c>
      <c r="G419" s="1">
        <v>399.04</v>
      </c>
      <c r="H419" s="1" t="s">
        <v>14</v>
      </c>
      <c r="I419" s="1" t="s">
        <v>13</v>
      </c>
      <c r="J419" s="1" t="s">
        <v>8</v>
      </c>
      <c r="K419" s="1" t="s">
        <v>7</v>
      </c>
      <c r="L419" s="1" t="s">
        <v>16</v>
      </c>
    </row>
    <row r="420" spans="1:12" x14ac:dyDescent="0.25">
      <c r="A420" s="5">
        <v>46076</v>
      </c>
      <c r="B420" s="4" t="s">
        <v>32</v>
      </c>
      <c r="C420" s="4">
        <v>2975</v>
      </c>
      <c r="D420" s="3">
        <v>29</v>
      </c>
      <c r="E420" s="3">
        <v>46</v>
      </c>
      <c r="F420" s="3">
        <v>115</v>
      </c>
      <c r="G420" s="1">
        <v>344.1</v>
      </c>
      <c r="H420" s="1" t="s">
        <v>19</v>
      </c>
      <c r="I420" s="1" t="s">
        <v>13</v>
      </c>
      <c r="J420" s="1" t="s">
        <v>2</v>
      </c>
      <c r="K420" s="1" t="s">
        <v>10</v>
      </c>
      <c r="L420" s="1" t="s">
        <v>16</v>
      </c>
    </row>
    <row r="421" spans="1:12" x14ac:dyDescent="0.25">
      <c r="A421" s="5">
        <v>46077</v>
      </c>
      <c r="B421" s="4" t="s">
        <v>32</v>
      </c>
      <c r="C421" s="4">
        <v>3199</v>
      </c>
      <c r="D421" s="3">
        <v>10</v>
      </c>
      <c r="E421" s="3">
        <v>48</v>
      </c>
      <c r="F421" s="3">
        <v>115</v>
      </c>
      <c r="G421" s="1">
        <v>2337.7199999999998</v>
      </c>
      <c r="H421" s="1" t="s">
        <v>12</v>
      </c>
      <c r="I421" s="1" t="s">
        <v>13</v>
      </c>
      <c r="J421" s="1" t="s">
        <v>11</v>
      </c>
      <c r="K421" s="1" t="s">
        <v>10</v>
      </c>
      <c r="L421" s="1" t="s">
        <v>16</v>
      </c>
    </row>
    <row r="422" spans="1:12" x14ac:dyDescent="0.25">
      <c r="A422" s="5">
        <v>46078</v>
      </c>
      <c r="B422" s="4" t="s">
        <v>32</v>
      </c>
      <c r="C422" s="4">
        <v>2439</v>
      </c>
      <c r="D422" s="3">
        <v>20</v>
      </c>
      <c r="E422" s="3">
        <v>23</v>
      </c>
      <c r="F422" s="3">
        <v>192</v>
      </c>
      <c r="G422" s="1">
        <v>566.28</v>
      </c>
      <c r="H422" s="1" t="s">
        <v>19</v>
      </c>
      <c r="I422" s="1" t="s">
        <v>13</v>
      </c>
      <c r="J422" s="1" t="s">
        <v>11</v>
      </c>
      <c r="K422" s="1" t="s">
        <v>1</v>
      </c>
      <c r="L422" s="1" t="s">
        <v>16</v>
      </c>
    </row>
    <row r="423" spans="1:12" x14ac:dyDescent="0.25">
      <c r="A423" s="5">
        <v>46079</v>
      </c>
      <c r="B423" s="4" t="s">
        <v>32</v>
      </c>
      <c r="C423" s="4">
        <v>4263</v>
      </c>
      <c r="D423" s="3">
        <v>11</v>
      </c>
      <c r="E423" s="3">
        <v>29</v>
      </c>
      <c r="F423" s="3">
        <v>373</v>
      </c>
      <c r="G423" s="1">
        <v>806.04</v>
      </c>
      <c r="H423" s="1" t="s">
        <v>14</v>
      </c>
      <c r="I423" s="1" t="s">
        <v>13</v>
      </c>
      <c r="J423" s="1" t="s">
        <v>18</v>
      </c>
      <c r="K423" s="1" t="s">
        <v>17</v>
      </c>
      <c r="L423" s="1" t="s">
        <v>16</v>
      </c>
    </row>
    <row r="424" spans="1:12" x14ac:dyDescent="0.25">
      <c r="A424" s="5">
        <v>46080</v>
      </c>
      <c r="B424" s="4" t="s">
        <v>32</v>
      </c>
      <c r="C424" s="4">
        <v>4323</v>
      </c>
      <c r="D424" s="3">
        <v>19</v>
      </c>
      <c r="E424" s="3">
        <v>39</v>
      </c>
      <c r="F424" s="3">
        <v>143</v>
      </c>
      <c r="G424" s="1">
        <v>1789.77</v>
      </c>
      <c r="H424" s="1" t="s">
        <v>4</v>
      </c>
      <c r="I424" s="1" t="s">
        <v>3</v>
      </c>
      <c r="J424" s="1" t="s">
        <v>2</v>
      </c>
      <c r="K424" s="1" t="s">
        <v>17</v>
      </c>
      <c r="L424" s="1" t="s">
        <v>16</v>
      </c>
    </row>
    <row r="425" spans="1:12" x14ac:dyDescent="0.25">
      <c r="A425" s="5">
        <v>46081</v>
      </c>
      <c r="B425" s="4" t="s">
        <v>32</v>
      </c>
      <c r="C425" s="4">
        <v>4110</v>
      </c>
      <c r="D425" s="3">
        <v>36</v>
      </c>
      <c r="E425" s="3">
        <v>44</v>
      </c>
      <c r="F425" s="3">
        <v>304</v>
      </c>
      <c r="G425" s="1">
        <v>2255.0700000000002</v>
      </c>
      <c r="H425" s="1" t="s">
        <v>4</v>
      </c>
      <c r="I425" s="1" t="s">
        <v>13</v>
      </c>
      <c r="J425" s="1" t="s">
        <v>18</v>
      </c>
      <c r="K425" s="1" t="s">
        <v>17</v>
      </c>
      <c r="L425" s="1" t="s">
        <v>16</v>
      </c>
    </row>
    <row r="426" spans="1:12" x14ac:dyDescent="0.25">
      <c r="A426" s="5">
        <v>46082</v>
      </c>
      <c r="B426" s="4" t="s">
        <v>31</v>
      </c>
      <c r="C426" s="4">
        <v>3075</v>
      </c>
      <c r="D426" s="3">
        <v>21</v>
      </c>
      <c r="E426" s="3">
        <v>10</v>
      </c>
      <c r="F426" s="3">
        <v>417</v>
      </c>
      <c r="G426" s="1">
        <v>2375.0100000000002</v>
      </c>
      <c r="H426" s="1" t="s">
        <v>14</v>
      </c>
      <c r="I426" s="1" t="s">
        <v>3</v>
      </c>
      <c r="J426" s="1" t="s">
        <v>2</v>
      </c>
      <c r="K426" s="1" t="s">
        <v>15</v>
      </c>
      <c r="L426" s="1" t="s">
        <v>16</v>
      </c>
    </row>
    <row r="427" spans="1:12" x14ac:dyDescent="0.25">
      <c r="A427" s="5">
        <v>46083</v>
      </c>
      <c r="B427" s="4" t="s">
        <v>31</v>
      </c>
      <c r="C427" s="4">
        <v>3579</v>
      </c>
      <c r="D427" s="3">
        <v>15</v>
      </c>
      <c r="E427" s="3">
        <v>44</v>
      </c>
      <c r="F427" s="3">
        <v>152</v>
      </c>
      <c r="G427" s="1">
        <v>988.16</v>
      </c>
      <c r="H427" s="1" t="s">
        <v>14</v>
      </c>
      <c r="I427" s="1" t="s">
        <v>13</v>
      </c>
      <c r="J427" s="1" t="s">
        <v>2</v>
      </c>
      <c r="K427" s="1" t="s">
        <v>10</v>
      </c>
      <c r="L427" s="1" t="s">
        <v>20</v>
      </c>
    </row>
    <row r="428" spans="1:12" x14ac:dyDescent="0.25">
      <c r="A428" s="5">
        <v>46084</v>
      </c>
      <c r="B428" s="4" t="s">
        <v>31</v>
      </c>
      <c r="C428" s="4">
        <v>3044</v>
      </c>
      <c r="D428" s="3">
        <v>11</v>
      </c>
      <c r="E428" s="3">
        <v>44</v>
      </c>
      <c r="F428" s="3">
        <v>117</v>
      </c>
      <c r="G428" s="1">
        <v>2083.67</v>
      </c>
      <c r="H428" s="1" t="s">
        <v>4</v>
      </c>
      <c r="I428" s="1" t="s">
        <v>13</v>
      </c>
      <c r="J428" s="1" t="s">
        <v>18</v>
      </c>
      <c r="K428" s="1" t="s">
        <v>21</v>
      </c>
      <c r="L428" s="1" t="s">
        <v>20</v>
      </c>
    </row>
    <row r="429" spans="1:12" x14ac:dyDescent="0.25">
      <c r="A429" s="5">
        <v>46085</v>
      </c>
      <c r="B429" s="4" t="s">
        <v>31</v>
      </c>
      <c r="C429" s="4">
        <v>3210</v>
      </c>
      <c r="D429" s="3">
        <v>17</v>
      </c>
      <c r="E429" s="3">
        <v>36</v>
      </c>
      <c r="F429" s="3">
        <v>92</v>
      </c>
      <c r="G429" s="1">
        <v>1420.84</v>
      </c>
      <c r="H429" s="1" t="s">
        <v>12</v>
      </c>
      <c r="I429" s="1" t="s">
        <v>13</v>
      </c>
      <c r="J429" s="1" t="s">
        <v>18</v>
      </c>
      <c r="K429" s="1" t="s">
        <v>15</v>
      </c>
      <c r="L429" s="1" t="s">
        <v>20</v>
      </c>
    </row>
    <row r="430" spans="1:12" x14ac:dyDescent="0.25">
      <c r="A430" s="5">
        <v>46086</v>
      </c>
      <c r="B430" s="4" t="s">
        <v>31</v>
      </c>
      <c r="C430" s="4">
        <v>844</v>
      </c>
      <c r="D430" s="3">
        <v>32</v>
      </c>
      <c r="E430" s="3">
        <v>2</v>
      </c>
      <c r="F430" s="3">
        <v>30</v>
      </c>
      <c r="G430" s="1">
        <v>1183.33</v>
      </c>
      <c r="H430" s="1" t="s">
        <v>14</v>
      </c>
      <c r="I430" s="1" t="s">
        <v>3</v>
      </c>
      <c r="J430" s="1" t="s">
        <v>11</v>
      </c>
      <c r="K430" s="1" t="s">
        <v>7</v>
      </c>
      <c r="L430" s="1" t="s">
        <v>20</v>
      </c>
    </row>
    <row r="431" spans="1:12" x14ac:dyDescent="0.25">
      <c r="A431" s="5">
        <v>46087</v>
      </c>
      <c r="B431" s="4" t="s">
        <v>31</v>
      </c>
      <c r="C431" s="4">
        <v>3347</v>
      </c>
      <c r="D431" s="3">
        <v>26</v>
      </c>
      <c r="E431" s="3">
        <v>31</v>
      </c>
      <c r="F431" s="3">
        <v>257</v>
      </c>
      <c r="G431" s="1">
        <v>1335.75</v>
      </c>
      <c r="H431" s="1" t="s">
        <v>14</v>
      </c>
      <c r="I431" s="1" t="s">
        <v>3</v>
      </c>
      <c r="J431" s="1" t="s">
        <v>18</v>
      </c>
      <c r="K431" s="1" t="s">
        <v>10</v>
      </c>
      <c r="L431" s="1" t="s">
        <v>20</v>
      </c>
    </row>
    <row r="432" spans="1:12" x14ac:dyDescent="0.25">
      <c r="A432" s="5">
        <v>46088</v>
      </c>
      <c r="B432" s="4" t="s">
        <v>31</v>
      </c>
      <c r="C432" s="4">
        <v>4667</v>
      </c>
      <c r="D432" s="3">
        <v>45</v>
      </c>
      <c r="E432" s="3">
        <v>28</v>
      </c>
      <c r="F432" s="3">
        <v>331</v>
      </c>
      <c r="G432" s="1">
        <v>727.75</v>
      </c>
      <c r="H432" s="1" t="s">
        <v>14</v>
      </c>
      <c r="I432" s="1" t="s">
        <v>13</v>
      </c>
      <c r="J432" s="1" t="s">
        <v>18</v>
      </c>
      <c r="K432" s="1" t="s">
        <v>10</v>
      </c>
      <c r="L432" s="1" t="s">
        <v>20</v>
      </c>
    </row>
    <row r="433" spans="1:12" x14ac:dyDescent="0.25">
      <c r="A433" s="5">
        <v>46089</v>
      </c>
      <c r="B433" s="4" t="s">
        <v>31</v>
      </c>
      <c r="C433" s="4">
        <v>2356</v>
      </c>
      <c r="D433" s="3">
        <v>34</v>
      </c>
      <c r="E433" s="3">
        <v>42</v>
      </c>
      <c r="F433" s="3">
        <v>172</v>
      </c>
      <c r="G433" s="1">
        <v>1167.8</v>
      </c>
      <c r="H433" s="1" t="s">
        <v>4</v>
      </c>
      <c r="I433" s="1" t="s">
        <v>13</v>
      </c>
      <c r="J433" s="1" t="s">
        <v>18</v>
      </c>
      <c r="K433" s="1" t="s">
        <v>7</v>
      </c>
      <c r="L433" s="1" t="s">
        <v>20</v>
      </c>
    </row>
    <row r="434" spans="1:12" x14ac:dyDescent="0.25">
      <c r="A434" s="5">
        <v>46090</v>
      </c>
      <c r="B434" s="4" t="s">
        <v>31</v>
      </c>
      <c r="C434" s="4">
        <v>4901</v>
      </c>
      <c r="D434" s="3">
        <v>27</v>
      </c>
      <c r="E434" s="3">
        <v>38</v>
      </c>
      <c r="F434" s="3">
        <v>62</v>
      </c>
      <c r="G434" s="1">
        <v>22.34</v>
      </c>
      <c r="H434" s="1" t="s">
        <v>12</v>
      </c>
      <c r="I434" s="1" t="s">
        <v>3</v>
      </c>
      <c r="J434" s="1" t="s">
        <v>18</v>
      </c>
      <c r="K434" s="1" t="s">
        <v>21</v>
      </c>
      <c r="L434" s="1" t="s">
        <v>20</v>
      </c>
    </row>
    <row r="435" spans="1:12" x14ac:dyDescent="0.25">
      <c r="A435" s="5">
        <v>46091</v>
      </c>
      <c r="B435" s="4" t="s">
        <v>31</v>
      </c>
      <c r="C435" s="4">
        <v>4181</v>
      </c>
      <c r="D435" s="3">
        <v>22</v>
      </c>
      <c r="E435" s="3">
        <v>38</v>
      </c>
      <c r="F435" s="3">
        <v>278</v>
      </c>
      <c r="G435" s="1">
        <v>1319.95</v>
      </c>
      <c r="H435" s="1" t="s">
        <v>4</v>
      </c>
      <c r="I435" s="1" t="s">
        <v>3</v>
      </c>
      <c r="J435" s="1" t="s">
        <v>11</v>
      </c>
      <c r="K435" s="1" t="s">
        <v>17</v>
      </c>
      <c r="L435" s="1" t="s">
        <v>20</v>
      </c>
    </row>
    <row r="436" spans="1:12" x14ac:dyDescent="0.25">
      <c r="A436" s="5">
        <v>46092</v>
      </c>
      <c r="B436" s="4" t="s">
        <v>31</v>
      </c>
      <c r="C436" s="4">
        <v>3024</v>
      </c>
      <c r="D436" s="3">
        <v>21</v>
      </c>
      <c r="E436" s="3">
        <v>40</v>
      </c>
      <c r="F436" s="3">
        <v>335</v>
      </c>
      <c r="G436" s="1">
        <v>205.24</v>
      </c>
      <c r="H436" s="1" t="s">
        <v>4</v>
      </c>
      <c r="I436" s="1" t="s">
        <v>3</v>
      </c>
      <c r="J436" s="1" t="s">
        <v>11</v>
      </c>
      <c r="K436" s="1" t="s">
        <v>7</v>
      </c>
      <c r="L436" s="1" t="s">
        <v>20</v>
      </c>
    </row>
    <row r="437" spans="1:12" x14ac:dyDescent="0.25">
      <c r="A437" s="5">
        <v>46093</v>
      </c>
      <c r="B437" s="4" t="s">
        <v>31</v>
      </c>
      <c r="C437" s="4">
        <v>3717</v>
      </c>
      <c r="D437" s="3">
        <v>23</v>
      </c>
      <c r="E437" s="3">
        <v>24</v>
      </c>
      <c r="F437" s="3">
        <v>48</v>
      </c>
      <c r="G437" s="1">
        <v>2047.57</v>
      </c>
      <c r="H437" s="1" t="s">
        <v>25</v>
      </c>
      <c r="I437" s="1" t="s">
        <v>3</v>
      </c>
      <c r="J437" s="1" t="s">
        <v>11</v>
      </c>
      <c r="K437" s="1" t="s">
        <v>10</v>
      </c>
      <c r="L437" s="1" t="s">
        <v>20</v>
      </c>
    </row>
    <row r="438" spans="1:12" x14ac:dyDescent="0.25">
      <c r="A438" s="5">
        <v>46094</v>
      </c>
      <c r="B438" s="4" t="s">
        <v>31</v>
      </c>
      <c r="C438" s="4">
        <v>2524</v>
      </c>
      <c r="D438" s="3">
        <v>19</v>
      </c>
      <c r="E438" s="3">
        <v>30</v>
      </c>
      <c r="F438" s="3">
        <v>31</v>
      </c>
      <c r="G438" s="1">
        <v>1923.8</v>
      </c>
      <c r="H438" s="1" t="s">
        <v>4</v>
      </c>
      <c r="I438" s="1" t="s">
        <v>13</v>
      </c>
      <c r="J438" s="1" t="s">
        <v>18</v>
      </c>
      <c r="K438" s="1" t="s">
        <v>10</v>
      </c>
      <c r="L438" s="1" t="s">
        <v>20</v>
      </c>
    </row>
    <row r="439" spans="1:12" x14ac:dyDescent="0.25">
      <c r="A439" s="5">
        <v>46095</v>
      </c>
      <c r="B439" s="4" t="s">
        <v>31</v>
      </c>
      <c r="C439" s="4">
        <v>5035</v>
      </c>
      <c r="D439" s="3">
        <v>9</v>
      </c>
      <c r="E439" s="3">
        <v>43</v>
      </c>
      <c r="F439" s="3">
        <v>102</v>
      </c>
      <c r="G439" s="1">
        <v>1397.3</v>
      </c>
      <c r="H439" s="1" t="s">
        <v>12</v>
      </c>
      <c r="I439" s="1" t="s">
        <v>13</v>
      </c>
      <c r="J439" s="1" t="s">
        <v>2</v>
      </c>
      <c r="K439" s="1" t="s">
        <v>21</v>
      </c>
      <c r="L439" s="1" t="s">
        <v>20</v>
      </c>
    </row>
    <row r="440" spans="1:12" x14ac:dyDescent="0.25">
      <c r="A440" s="5">
        <v>46096</v>
      </c>
      <c r="B440" s="4" t="s">
        <v>31</v>
      </c>
      <c r="C440" s="4">
        <v>3328</v>
      </c>
      <c r="D440" s="3">
        <v>17</v>
      </c>
      <c r="E440" s="3">
        <v>31</v>
      </c>
      <c r="F440" s="3">
        <v>125</v>
      </c>
      <c r="G440" s="1">
        <v>2181.14</v>
      </c>
      <c r="H440" s="1" t="s">
        <v>29</v>
      </c>
      <c r="I440" s="1" t="s">
        <v>13</v>
      </c>
      <c r="J440" s="1" t="s">
        <v>18</v>
      </c>
      <c r="K440" s="1" t="s">
        <v>17</v>
      </c>
      <c r="L440" s="1" t="s">
        <v>20</v>
      </c>
    </row>
    <row r="441" spans="1:12" x14ac:dyDescent="0.25">
      <c r="A441" s="5">
        <v>46097</v>
      </c>
      <c r="B441" s="4" t="s">
        <v>31</v>
      </c>
      <c r="C441" s="4">
        <v>3286</v>
      </c>
      <c r="D441" s="3">
        <v>16</v>
      </c>
      <c r="E441" s="3">
        <v>29</v>
      </c>
      <c r="F441" s="3">
        <v>62</v>
      </c>
      <c r="G441" s="1">
        <v>2345.81</v>
      </c>
      <c r="H441" s="1" t="s">
        <v>4</v>
      </c>
      <c r="I441" s="1" t="s">
        <v>13</v>
      </c>
      <c r="J441" s="1" t="s">
        <v>18</v>
      </c>
      <c r="K441" s="1" t="s">
        <v>7</v>
      </c>
      <c r="L441" s="1" t="s">
        <v>20</v>
      </c>
    </row>
    <row r="442" spans="1:12" x14ac:dyDescent="0.25">
      <c r="A442" s="5">
        <v>46098</v>
      </c>
      <c r="B442" s="4" t="s">
        <v>31</v>
      </c>
      <c r="C442" s="4">
        <v>3581</v>
      </c>
      <c r="D442" s="3">
        <v>28</v>
      </c>
      <c r="E442" s="3">
        <v>13</v>
      </c>
      <c r="F442" s="3">
        <v>390</v>
      </c>
      <c r="G442" s="1">
        <v>1052.05</v>
      </c>
      <c r="H442" s="1" t="s">
        <v>12</v>
      </c>
      <c r="I442" s="1" t="s">
        <v>13</v>
      </c>
      <c r="J442" s="1" t="s">
        <v>18</v>
      </c>
      <c r="K442" s="1" t="s">
        <v>10</v>
      </c>
      <c r="L442" s="1" t="s">
        <v>20</v>
      </c>
    </row>
    <row r="443" spans="1:12" x14ac:dyDescent="0.25">
      <c r="A443" s="5">
        <v>46099</v>
      </c>
      <c r="B443" s="4" t="s">
        <v>31</v>
      </c>
      <c r="C443" s="4">
        <v>2672</v>
      </c>
      <c r="D443" s="3">
        <v>29</v>
      </c>
      <c r="E443" s="3">
        <v>43</v>
      </c>
      <c r="F443" s="3">
        <v>104</v>
      </c>
      <c r="G443" s="1">
        <v>567.74</v>
      </c>
      <c r="H443" s="1" t="s">
        <v>14</v>
      </c>
      <c r="I443" s="1" t="s">
        <v>13</v>
      </c>
      <c r="J443" s="1" t="s">
        <v>11</v>
      </c>
      <c r="K443" s="1" t="s">
        <v>10</v>
      </c>
      <c r="L443" s="1" t="s">
        <v>20</v>
      </c>
    </row>
    <row r="444" spans="1:12" x14ac:dyDescent="0.25">
      <c r="A444" s="5">
        <v>46100</v>
      </c>
      <c r="B444" s="4" t="s">
        <v>31</v>
      </c>
      <c r="C444" s="4">
        <v>1788</v>
      </c>
      <c r="D444" s="3">
        <v>31</v>
      </c>
      <c r="E444" s="3">
        <v>7</v>
      </c>
      <c r="F444" s="3">
        <v>91</v>
      </c>
      <c r="G444" s="1">
        <v>772.68</v>
      </c>
      <c r="H444" s="1" t="s">
        <v>14</v>
      </c>
      <c r="I444" s="1" t="s">
        <v>13</v>
      </c>
      <c r="J444" s="1" t="s">
        <v>18</v>
      </c>
      <c r="K444" s="1" t="s">
        <v>21</v>
      </c>
      <c r="L444" s="1" t="s">
        <v>20</v>
      </c>
    </row>
    <row r="445" spans="1:12" x14ac:dyDescent="0.25">
      <c r="A445" s="5">
        <v>46101</v>
      </c>
      <c r="B445" s="4" t="s">
        <v>31</v>
      </c>
      <c r="C445" s="4">
        <v>3276</v>
      </c>
      <c r="D445" s="3">
        <v>26</v>
      </c>
      <c r="E445" s="3">
        <v>41</v>
      </c>
      <c r="F445" s="3">
        <v>94</v>
      </c>
      <c r="G445" s="1">
        <v>1311.37</v>
      </c>
      <c r="H445" s="1" t="s">
        <v>14</v>
      </c>
      <c r="I445" s="1" t="s">
        <v>3</v>
      </c>
      <c r="J445" s="1" t="s">
        <v>11</v>
      </c>
      <c r="K445" s="1" t="s">
        <v>17</v>
      </c>
      <c r="L445" s="1" t="s">
        <v>30</v>
      </c>
    </row>
    <row r="446" spans="1:12" x14ac:dyDescent="0.25">
      <c r="A446" s="5">
        <v>46102</v>
      </c>
      <c r="B446" s="4" t="s">
        <v>31</v>
      </c>
      <c r="C446" s="4">
        <v>3166</v>
      </c>
      <c r="D446" s="3">
        <v>7</v>
      </c>
      <c r="E446" s="3">
        <v>29</v>
      </c>
      <c r="F446" s="3">
        <v>240</v>
      </c>
      <c r="G446" s="1">
        <v>1014.28</v>
      </c>
      <c r="H446" s="1" t="s">
        <v>25</v>
      </c>
      <c r="I446" s="1" t="s">
        <v>3</v>
      </c>
      <c r="J446" s="1" t="s">
        <v>11</v>
      </c>
      <c r="K446" s="1" t="s">
        <v>17</v>
      </c>
      <c r="L446" s="1" t="s">
        <v>30</v>
      </c>
    </row>
    <row r="447" spans="1:12" x14ac:dyDescent="0.25">
      <c r="A447" s="5">
        <v>46103</v>
      </c>
      <c r="B447" s="4" t="s">
        <v>31</v>
      </c>
      <c r="C447" s="4">
        <v>3498</v>
      </c>
      <c r="D447" s="3">
        <v>24</v>
      </c>
      <c r="E447" s="3">
        <v>36</v>
      </c>
      <c r="F447" s="3">
        <v>267</v>
      </c>
      <c r="G447" s="1">
        <v>805.38</v>
      </c>
      <c r="H447" s="1" t="s">
        <v>12</v>
      </c>
      <c r="I447" s="1" t="s">
        <v>13</v>
      </c>
      <c r="J447" s="1" t="s">
        <v>18</v>
      </c>
      <c r="K447" s="1" t="s">
        <v>7</v>
      </c>
      <c r="L447" s="1" t="s">
        <v>30</v>
      </c>
    </row>
    <row r="448" spans="1:12" x14ac:dyDescent="0.25">
      <c r="A448" s="5">
        <v>46104</v>
      </c>
      <c r="B448" s="4" t="s">
        <v>31</v>
      </c>
      <c r="C448" s="4">
        <v>3899</v>
      </c>
      <c r="D448" s="3">
        <v>7</v>
      </c>
      <c r="E448" s="3">
        <v>25</v>
      </c>
      <c r="F448" s="3">
        <v>93</v>
      </c>
      <c r="G448" s="1">
        <v>2208.7800000000002</v>
      </c>
      <c r="H448" s="1" t="s">
        <v>14</v>
      </c>
      <c r="I448" s="1" t="s">
        <v>13</v>
      </c>
      <c r="J448" s="1" t="s">
        <v>18</v>
      </c>
      <c r="K448" s="1" t="s">
        <v>17</v>
      </c>
      <c r="L448" s="1" t="s">
        <v>30</v>
      </c>
    </row>
    <row r="449" spans="1:12" x14ac:dyDescent="0.25">
      <c r="A449" s="5">
        <v>46105</v>
      </c>
      <c r="B449" s="4" t="s">
        <v>31</v>
      </c>
      <c r="C449" s="4">
        <v>2072</v>
      </c>
      <c r="D449" s="3">
        <v>18</v>
      </c>
      <c r="E449" s="3">
        <v>14</v>
      </c>
      <c r="F449" s="3">
        <v>296</v>
      </c>
      <c r="G449" s="1">
        <v>1258.6500000000001</v>
      </c>
      <c r="H449" s="1" t="s">
        <v>14</v>
      </c>
      <c r="I449" s="1" t="s">
        <v>3</v>
      </c>
      <c r="J449" s="1" t="s">
        <v>18</v>
      </c>
      <c r="K449" s="1" t="s">
        <v>1</v>
      </c>
      <c r="L449" s="1" t="s">
        <v>30</v>
      </c>
    </row>
    <row r="450" spans="1:12" x14ac:dyDescent="0.25">
      <c r="A450" s="5">
        <v>46106</v>
      </c>
      <c r="B450" s="4" t="s">
        <v>31</v>
      </c>
      <c r="C450" s="4">
        <v>3059</v>
      </c>
      <c r="D450" s="3">
        <v>22</v>
      </c>
      <c r="E450" s="3">
        <v>30</v>
      </c>
      <c r="F450" s="3">
        <v>434</v>
      </c>
      <c r="G450" s="1">
        <v>957.97</v>
      </c>
      <c r="H450" s="1" t="s">
        <v>14</v>
      </c>
      <c r="I450" s="1" t="s">
        <v>13</v>
      </c>
      <c r="J450" s="1" t="s">
        <v>18</v>
      </c>
      <c r="K450" s="1" t="s">
        <v>7</v>
      </c>
      <c r="L450" s="1" t="s">
        <v>30</v>
      </c>
    </row>
    <row r="451" spans="1:12" x14ac:dyDescent="0.25">
      <c r="A451" s="5">
        <v>46107</v>
      </c>
      <c r="B451" s="4" t="s">
        <v>31</v>
      </c>
      <c r="C451" s="4">
        <v>2263</v>
      </c>
      <c r="D451" s="3">
        <v>36</v>
      </c>
      <c r="E451" s="3">
        <v>39</v>
      </c>
      <c r="F451" s="3">
        <v>291</v>
      </c>
      <c r="G451" s="1">
        <v>1473.29</v>
      </c>
      <c r="H451" s="1" t="s">
        <v>12</v>
      </c>
      <c r="I451" s="1" t="s">
        <v>13</v>
      </c>
      <c r="J451" s="1" t="s">
        <v>18</v>
      </c>
      <c r="K451" s="1" t="s">
        <v>15</v>
      </c>
      <c r="L451" s="1" t="s">
        <v>30</v>
      </c>
    </row>
    <row r="452" spans="1:12" x14ac:dyDescent="0.25">
      <c r="A452" s="5">
        <v>46108</v>
      </c>
      <c r="B452" s="4" t="s">
        <v>31</v>
      </c>
      <c r="C452" s="4">
        <v>3243</v>
      </c>
      <c r="D452" s="3">
        <v>13</v>
      </c>
      <c r="E452" s="3">
        <v>15</v>
      </c>
      <c r="F452" s="3">
        <v>268</v>
      </c>
      <c r="G452" s="1">
        <v>1113.8599999999999</v>
      </c>
      <c r="H452" s="1" t="s">
        <v>12</v>
      </c>
      <c r="I452" s="1" t="s">
        <v>3</v>
      </c>
      <c r="J452" s="1" t="s">
        <v>18</v>
      </c>
      <c r="K452" s="1" t="s">
        <v>7</v>
      </c>
      <c r="L452" s="1" t="s">
        <v>30</v>
      </c>
    </row>
    <row r="453" spans="1:12" x14ac:dyDescent="0.25">
      <c r="A453" s="5">
        <v>46109</v>
      </c>
      <c r="B453" s="4" t="s">
        <v>31</v>
      </c>
      <c r="C453" s="4">
        <v>3274</v>
      </c>
      <c r="D453" s="3">
        <v>36</v>
      </c>
      <c r="E453" s="3">
        <v>36</v>
      </c>
      <c r="F453" s="3">
        <v>403</v>
      </c>
      <c r="G453" s="1">
        <v>328.4</v>
      </c>
      <c r="H453" s="1" t="s">
        <v>12</v>
      </c>
      <c r="I453" s="1" t="s">
        <v>13</v>
      </c>
      <c r="J453" s="1" t="s">
        <v>11</v>
      </c>
      <c r="K453" s="1" t="s">
        <v>10</v>
      </c>
      <c r="L453" s="1" t="s">
        <v>30</v>
      </c>
    </row>
    <row r="454" spans="1:12" x14ac:dyDescent="0.25">
      <c r="A454" s="5">
        <v>46110</v>
      </c>
      <c r="B454" s="4" t="s">
        <v>31</v>
      </c>
      <c r="C454" s="4">
        <v>4217</v>
      </c>
      <c r="D454" s="3">
        <v>31</v>
      </c>
      <c r="E454" s="3">
        <v>36</v>
      </c>
      <c r="F454" s="3">
        <v>369</v>
      </c>
      <c r="G454" s="1">
        <v>828.78</v>
      </c>
      <c r="H454" s="1" t="s">
        <v>25</v>
      </c>
      <c r="I454" s="1" t="s">
        <v>13</v>
      </c>
      <c r="J454" s="1" t="s">
        <v>2</v>
      </c>
      <c r="K454" s="1" t="s">
        <v>7</v>
      </c>
      <c r="L454" s="1" t="s">
        <v>30</v>
      </c>
    </row>
    <row r="455" spans="1:12" x14ac:dyDescent="0.25">
      <c r="A455" s="5">
        <v>46111</v>
      </c>
      <c r="B455" s="4" t="s">
        <v>31</v>
      </c>
      <c r="C455" s="4">
        <v>3368</v>
      </c>
      <c r="D455" s="3">
        <v>28</v>
      </c>
      <c r="E455" s="3">
        <v>19</v>
      </c>
      <c r="F455" s="3">
        <v>412</v>
      </c>
      <c r="G455" s="1">
        <v>680.52</v>
      </c>
      <c r="H455" s="1" t="s">
        <v>14</v>
      </c>
      <c r="I455" s="1" t="s">
        <v>13</v>
      </c>
      <c r="J455" s="1" t="s">
        <v>18</v>
      </c>
      <c r="K455" s="1" t="s">
        <v>15</v>
      </c>
      <c r="L455" s="1" t="s">
        <v>30</v>
      </c>
    </row>
    <row r="456" spans="1:12" x14ac:dyDescent="0.25">
      <c r="A456" s="5">
        <v>46112</v>
      </c>
      <c r="B456" s="4" t="s">
        <v>31</v>
      </c>
      <c r="C456" s="4">
        <v>2910</v>
      </c>
      <c r="D456" s="3">
        <v>26</v>
      </c>
      <c r="E456" s="3">
        <v>48</v>
      </c>
      <c r="F456" s="3">
        <v>179</v>
      </c>
      <c r="G456" s="1">
        <v>867.5</v>
      </c>
      <c r="H456" s="1" t="s">
        <v>14</v>
      </c>
      <c r="I456" s="1" t="s">
        <v>3</v>
      </c>
      <c r="J456" s="1" t="s">
        <v>18</v>
      </c>
      <c r="K456" s="1" t="s">
        <v>7</v>
      </c>
      <c r="L456" s="1" t="s">
        <v>30</v>
      </c>
    </row>
    <row r="457" spans="1:12" x14ac:dyDescent="0.25">
      <c r="A457" s="5">
        <v>46113</v>
      </c>
      <c r="B457" s="4" t="s">
        <v>27</v>
      </c>
      <c r="C457" s="4">
        <v>3033</v>
      </c>
      <c r="D457" s="3">
        <v>34</v>
      </c>
      <c r="E457" s="3">
        <v>10</v>
      </c>
      <c r="F457" s="3">
        <v>419</v>
      </c>
      <c r="G457" s="1">
        <v>279.98</v>
      </c>
      <c r="H457" s="1" t="s">
        <v>12</v>
      </c>
      <c r="I457" s="1" t="s">
        <v>13</v>
      </c>
      <c r="J457" s="1" t="s">
        <v>18</v>
      </c>
      <c r="K457" s="1" t="s">
        <v>10</v>
      </c>
      <c r="L457" s="1" t="s">
        <v>30</v>
      </c>
    </row>
    <row r="458" spans="1:12" x14ac:dyDescent="0.25">
      <c r="A458" s="5">
        <v>46114</v>
      </c>
      <c r="B458" s="4" t="s">
        <v>27</v>
      </c>
      <c r="C458" s="4">
        <v>450</v>
      </c>
      <c r="D458" s="3">
        <v>34</v>
      </c>
      <c r="E458" s="3">
        <v>10</v>
      </c>
      <c r="F458" s="3">
        <v>65</v>
      </c>
      <c r="G458" s="1">
        <v>2429.6799999999998</v>
      </c>
      <c r="H458" s="1" t="s">
        <v>12</v>
      </c>
      <c r="I458" s="1" t="s">
        <v>13</v>
      </c>
      <c r="J458" s="1" t="s">
        <v>18</v>
      </c>
      <c r="K458" s="1" t="s">
        <v>21</v>
      </c>
      <c r="L458" s="1" t="s">
        <v>30</v>
      </c>
    </row>
    <row r="459" spans="1:12" x14ac:dyDescent="0.25">
      <c r="A459" s="5">
        <v>46115</v>
      </c>
      <c r="B459" s="4" t="s">
        <v>27</v>
      </c>
      <c r="C459" s="4">
        <v>2578</v>
      </c>
      <c r="D459" s="3">
        <v>23</v>
      </c>
      <c r="E459" s="3">
        <v>25</v>
      </c>
      <c r="F459" s="3">
        <v>23</v>
      </c>
      <c r="G459" s="1">
        <v>2186.67</v>
      </c>
      <c r="H459" s="1" t="s">
        <v>12</v>
      </c>
      <c r="I459" s="1" t="s">
        <v>13</v>
      </c>
      <c r="J459" s="1" t="s">
        <v>18</v>
      </c>
      <c r="K459" s="1" t="s">
        <v>7</v>
      </c>
      <c r="L459" s="1" t="s">
        <v>30</v>
      </c>
    </row>
    <row r="460" spans="1:12" x14ac:dyDescent="0.25">
      <c r="A460" s="5">
        <v>46116</v>
      </c>
      <c r="B460" s="4" t="s">
        <v>27</v>
      </c>
      <c r="C460" s="4">
        <v>3312</v>
      </c>
      <c r="D460" s="3">
        <v>19</v>
      </c>
      <c r="E460" s="3">
        <v>25</v>
      </c>
      <c r="F460" s="3">
        <v>260</v>
      </c>
      <c r="G460" s="1">
        <v>2329.85</v>
      </c>
      <c r="H460" s="1" t="s">
        <v>19</v>
      </c>
      <c r="I460" s="1" t="s">
        <v>3</v>
      </c>
      <c r="J460" s="1" t="s">
        <v>11</v>
      </c>
      <c r="K460" s="1" t="s">
        <v>7</v>
      </c>
      <c r="L460" s="1" t="s">
        <v>30</v>
      </c>
    </row>
    <row r="461" spans="1:12" x14ac:dyDescent="0.25">
      <c r="A461" s="5">
        <v>46117</v>
      </c>
      <c r="B461" s="4" t="s">
        <v>27</v>
      </c>
      <c r="C461" s="4">
        <v>2854</v>
      </c>
      <c r="D461" s="3">
        <v>28</v>
      </c>
      <c r="E461" s="3">
        <v>22</v>
      </c>
      <c r="F461" s="3">
        <v>359</v>
      </c>
      <c r="G461" s="1">
        <v>1782.35</v>
      </c>
      <c r="H461" s="1" t="s">
        <v>12</v>
      </c>
      <c r="I461" s="1" t="s">
        <v>13</v>
      </c>
      <c r="J461" s="1" t="s">
        <v>18</v>
      </c>
      <c r="K461" s="1" t="s">
        <v>1</v>
      </c>
      <c r="L461" s="1" t="s">
        <v>30</v>
      </c>
    </row>
    <row r="462" spans="1:12" x14ac:dyDescent="0.25">
      <c r="A462" s="5">
        <v>46118</v>
      </c>
      <c r="B462" s="4" t="s">
        <v>27</v>
      </c>
      <c r="C462" s="4">
        <v>3707</v>
      </c>
      <c r="D462" s="3">
        <v>30</v>
      </c>
      <c r="E462" s="3">
        <v>26</v>
      </c>
      <c r="F462" s="3">
        <v>144</v>
      </c>
      <c r="G462" s="1">
        <v>1644.63</v>
      </c>
      <c r="H462" s="1" t="s">
        <v>14</v>
      </c>
      <c r="I462" s="1" t="s">
        <v>13</v>
      </c>
      <c r="J462" s="1" t="s">
        <v>18</v>
      </c>
      <c r="K462" s="1" t="s">
        <v>7</v>
      </c>
      <c r="L462" s="1" t="s">
        <v>30</v>
      </c>
    </row>
    <row r="463" spans="1:12" x14ac:dyDescent="0.25">
      <c r="A463" s="5">
        <v>46119</v>
      </c>
      <c r="B463" s="4" t="s">
        <v>27</v>
      </c>
      <c r="C463" s="4">
        <v>3341</v>
      </c>
      <c r="D463" s="3">
        <v>7</v>
      </c>
      <c r="E463" s="3">
        <v>38</v>
      </c>
      <c r="F463" s="3">
        <v>179</v>
      </c>
      <c r="G463" s="1">
        <v>2415.37</v>
      </c>
      <c r="H463" s="1" t="s">
        <v>12</v>
      </c>
      <c r="I463" s="1" t="s">
        <v>3</v>
      </c>
      <c r="J463" s="1" t="s">
        <v>11</v>
      </c>
      <c r="K463" s="1" t="s">
        <v>1</v>
      </c>
      <c r="L463" s="1" t="s">
        <v>28</v>
      </c>
    </row>
    <row r="464" spans="1:12" x14ac:dyDescent="0.25">
      <c r="A464" s="5">
        <v>46120</v>
      </c>
      <c r="B464" s="4" t="s">
        <v>27</v>
      </c>
      <c r="C464" s="4">
        <v>2527</v>
      </c>
      <c r="D464" s="3">
        <v>25</v>
      </c>
      <c r="E464" s="3">
        <v>12</v>
      </c>
      <c r="F464" s="3">
        <v>230</v>
      </c>
      <c r="G464" s="1">
        <v>1442.97</v>
      </c>
      <c r="H464" s="1" t="s">
        <v>12</v>
      </c>
      <c r="I464" s="1" t="s">
        <v>13</v>
      </c>
      <c r="J464" s="1" t="s">
        <v>18</v>
      </c>
      <c r="K464" s="1" t="s">
        <v>1</v>
      </c>
      <c r="L464" s="1" t="s">
        <v>28</v>
      </c>
    </row>
    <row r="465" spans="1:12" x14ac:dyDescent="0.25">
      <c r="A465" s="5">
        <v>46121</v>
      </c>
      <c r="B465" s="4" t="s">
        <v>27</v>
      </c>
      <c r="C465" s="4">
        <v>1382</v>
      </c>
      <c r="D465" s="3">
        <v>23</v>
      </c>
      <c r="E465" s="3">
        <v>40</v>
      </c>
      <c r="F465" s="3">
        <v>281</v>
      </c>
      <c r="G465" s="1">
        <v>528.80999999999995</v>
      </c>
      <c r="H465" s="1" t="s">
        <v>12</v>
      </c>
      <c r="I465" s="1" t="s">
        <v>13</v>
      </c>
      <c r="J465" s="1" t="s">
        <v>18</v>
      </c>
      <c r="K465" s="1" t="s">
        <v>7</v>
      </c>
      <c r="L465" s="1" t="s">
        <v>28</v>
      </c>
    </row>
    <row r="466" spans="1:12" x14ac:dyDescent="0.25">
      <c r="A466" s="5">
        <v>46122</v>
      </c>
      <c r="B466" s="4" t="s">
        <v>27</v>
      </c>
      <c r="C466" s="4">
        <v>3471</v>
      </c>
      <c r="D466" s="3">
        <v>21</v>
      </c>
      <c r="E466" s="3">
        <v>29</v>
      </c>
      <c r="F466" s="3">
        <v>24</v>
      </c>
      <c r="G466" s="1">
        <v>1489.61</v>
      </c>
      <c r="H466" s="1" t="s">
        <v>12</v>
      </c>
      <c r="I466" s="1" t="s">
        <v>13</v>
      </c>
      <c r="J466" s="1" t="s">
        <v>18</v>
      </c>
      <c r="K466" s="1" t="s">
        <v>15</v>
      </c>
      <c r="L466" s="1" t="s">
        <v>28</v>
      </c>
    </row>
    <row r="467" spans="1:12" x14ac:dyDescent="0.25">
      <c r="A467" s="5">
        <v>46123</v>
      </c>
      <c r="B467" s="4" t="s">
        <v>27</v>
      </c>
      <c r="C467" s="4">
        <v>4133</v>
      </c>
      <c r="D467" s="3">
        <v>27</v>
      </c>
      <c r="E467" s="3">
        <v>71</v>
      </c>
      <c r="F467" s="3">
        <v>435</v>
      </c>
      <c r="G467" s="1">
        <v>1521.71</v>
      </c>
      <c r="H467" s="1" t="s">
        <v>4</v>
      </c>
      <c r="I467" s="1" t="s">
        <v>3</v>
      </c>
      <c r="J467" s="1" t="s">
        <v>18</v>
      </c>
      <c r="K467" s="1" t="s">
        <v>10</v>
      </c>
      <c r="L467" s="1" t="s">
        <v>28</v>
      </c>
    </row>
    <row r="468" spans="1:12" x14ac:dyDescent="0.25">
      <c r="A468" s="5">
        <v>46124</v>
      </c>
      <c r="B468" s="4" t="s">
        <v>27</v>
      </c>
      <c r="C468" s="4">
        <v>1382</v>
      </c>
      <c r="D468" s="3">
        <v>25</v>
      </c>
      <c r="E468" s="3">
        <v>24</v>
      </c>
      <c r="F468" s="3">
        <v>380</v>
      </c>
      <c r="G468" s="1">
        <v>833.6</v>
      </c>
      <c r="H468" s="1" t="s">
        <v>4</v>
      </c>
      <c r="I468" s="1" t="s">
        <v>13</v>
      </c>
      <c r="J468" s="1" t="s">
        <v>2</v>
      </c>
      <c r="K468" s="1" t="s">
        <v>1</v>
      </c>
      <c r="L468" s="1" t="s">
        <v>28</v>
      </c>
    </row>
    <row r="469" spans="1:12" x14ac:dyDescent="0.25">
      <c r="A469" s="5">
        <v>46125</v>
      </c>
      <c r="B469" s="4" t="s">
        <v>27</v>
      </c>
      <c r="C469" s="4">
        <v>4961</v>
      </c>
      <c r="D469" s="3">
        <v>36</v>
      </c>
      <c r="E469" s="3">
        <v>76</v>
      </c>
      <c r="F469" s="3">
        <v>418</v>
      </c>
      <c r="G469" s="1">
        <v>2117.29</v>
      </c>
      <c r="H469" s="1" t="s">
        <v>14</v>
      </c>
      <c r="I469" s="1" t="s">
        <v>3</v>
      </c>
      <c r="J469" s="1" t="s">
        <v>18</v>
      </c>
      <c r="K469" s="1" t="s">
        <v>1</v>
      </c>
      <c r="L469" s="1" t="s">
        <v>28</v>
      </c>
    </row>
    <row r="470" spans="1:12" x14ac:dyDescent="0.25">
      <c r="A470" s="5">
        <v>46126</v>
      </c>
      <c r="B470" s="4" t="s">
        <v>27</v>
      </c>
      <c r="C470" s="4">
        <v>3980</v>
      </c>
      <c r="D470" s="3">
        <v>12</v>
      </c>
      <c r="E470" s="3">
        <v>37</v>
      </c>
      <c r="F470" s="3">
        <v>51</v>
      </c>
      <c r="G470" s="1">
        <v>221.57</v>
      </c>
      <c r="H470" s="1" t="s">
        <v>12</v>
      </c>
      <c r="I470" s="1" t="s">
        <v>13</v>
      </c>
      <c r="J470" s="1" t="s">
        <v>8</v>
      </c>
      <c r="K470" s="1" t="s">
        <v>21</v>
      </c>
      <c r="L470" s="1" t="s">
        <v>28</v>
      </c>
    </row>
    <row r="471" spans="1:12" x14ac:dyDescent="0.25">
      <c r="A471" s="5">
        <v>46127</v>
      </c>
      <c r="B471" s="4" t="s">
        <v>27</v>
      </c>
      <c r="C471" s="4">
        <v>3468</v>
      </c>
      <c r="D471" s="3">
        <v>21</v>
      </c>
      <c r="E471" s="3">
        <v>37</v>
      </c>
      <c r="F471" s="3">
        <v>151</v>
      </c>
      <c r="G471" s="1">
        <v>533.46</v>
      </c>
      <c r="H471" s="1" t="s">
        <v>29</v>
      </c>
      <c r="I471" s="1" t="s">
        <v>13</v>
      </c>
      <c r="J471" s="1" t="s">
        <v>18</v>
      </c>
      <c r="K471" s="1" t="s">
        <v>1</v>
      </c>
      <c r="L471" s="1" t="s">
        <v>28</v>
      </c>
    </row>
    <row r="472" spans="1:12" x14ac:dyDescent="0.25">
      <c r="A472" s="5">
        <v>46128</v>
      </c>
      <c r="B472" s="4" t="s">
        <v>27</v>
      </c>
      <c r="C472" s="4">
        <v>2618</v>
      </c>
      <c r="D472" s="3">
        <v>25</v>
      </c>
      <c r="E472" s="3">
        <v>48</v>
      </c>
      <c r="F472" s="3">
        <v>272</v>
      </c>
      <c r="G472" s="1">
        <v>589</v>
      </c>
      <c r="H472" s="1" t="s">
        <v>14</v>
      </c>
      <c r="I472" s="1" t="s">
        <v>3</v>
      </c>
      <c r="J472" s="1" t="s">
        <v>18</v>
      </c>
      <c r="K472" s="1" t="s">
        <v>10</v>
      </c>
      <c r="L472" s="1" t="s">
        <v>28</v>
      </c>
    </row>
    <row r="473" spans="1:12" x14ac:dyDescent="0.25">
      <c r="A473" s="5">
        <v>46129</v>
      </c>
      <c r="B473" s="4" t="s">
        <v>27</v>
      </c>
      <c r="C473" s="4">
        <v>1332</v>
      </c>
      <c r="D473" s="3">
        <v>17</v>
      </c>
      <c r="E473" s="3">
        <v>8</v>
      </c>
      <c r="F473" s="3">
        <v>270</v>
      </c>
      <c r="G473" s="1">
        <v>2035.83</v>
      </c>
      <c r="H473" s="1" t="s">
        <v>4</v>
      </c>
      <c r="I473" s="1" t="s">
        <v>13</v>
      </c>
      <c r="J473" s="1" t="s">
        <v>2</v>
      </c>
      <c r="K473" s="1" t="s">
        <v>1</v>
      </c>
      <c r="L473" s="1" t="s">
        <v>28</v>
      </c>
    </row>
    <row r="474" spans="1:12" x14ac:dyDescent="0.25">
      <c r="A474" s="5">
        <v>46130</v>
      </c>
      <c r="B474" s="4" t="s">
        <v>27</v>
      </c>
      <c r="C474" s="4">
        <v>2150</v>
      </c>
      <c r="D474" s="3">
        <v>27</v>
      </c>
      <c r="E474" s="3">
        <v>23</v>
      </c>
      <c r="F474" s="3">
        <v>319</v>
      </c>
      <c r="G474" s="1">
        <v>2217.96</v>
      </c>
      <c r="H474" s="1" t="s">
        <v>12</v>
      </c>
      <c r="I474" s="1" t="s">
        <v>13</v>
      </c>
      <c r="J474" s="1" t="s">
        <v>18</v>
      </c>
      <c r="K474" s="1" t="s">
        <v>21</v>
      </c>
      <c r="L474" s="1" t="s">
        <v>28</v>
      </c>
    </row>
    <row r="475" spans="1:12" x14ac:dyDescent="0.25">
      <c r="A475" s="5">
        <v>46131</v>
      </c>
      <c r="B475" s="4" t="s">
        <v>27</v>
      </c>
      <c r="C475" s="4">
        <v>2889</v>
      </c>
      <c r="D475" s="3">
        <v>30</v>
      </c>
      <c r="E475" s="3">
        <v>29</v>
      </c>
      <c r="F475" s="3">
        <v>438</v>
      </c>
      <c r="G475" s="1">
        <v>812.11</v>
      </c>
      <c r="H475" s="1" t="s">
        <v>25</v>
      </c>
      <c r="I475" s="1" t="s">
        <v>3</v>
      </c>
      <c r="J475" s="1" t="s">
        <v>18</v>
      </c>
      <c r="K475" s="1" t="s">
        <v>17</v>
      </c>
      <c r="L475" s="1" t="s">
        <v>28</v>
      </c>
    </row>
    <row r="476" spans="1:12" x14ac:dyDescent="0.25">
      <c r="A476" s="5">
        <v>46132</v>
      </c>
      <c r="B476" s="4" t="s">
        <v>27</v>
      </c>
      <c r="C476" s="4">
        <v>2145</v>
      </c>
      <c r="D476" s="3">
        <v>21</v>
      </c>
      <c r="E476" s="3">
        <v>37</v>
      </c>
      <c r="F476" s="3">
        <v>290</v>
      </c>
      <c r="G476" s="1">
        <v>831.52</v>
      </c>
      <c r="H476" s="1" t="s">
        <v>12</v>
      </c>
      <c r="I476" s="1" t="s">
        <v>13</v>
      </c>
      <c r="J476" s="1" t="s">
        <v>11</v>
      </c>
      <c r="K476" s="1" t="s">
        <v>15</v>
      </c>
      <c r="L476" s="1" t="s">
        <v>28</v>
      </c>
    </row>
    <row r="477" spans="1:12" x14ac:dyDescent="0.25">
      <c r="A477" s="5">
        <v>46133</v>
      </c>
      <c r="B477" s="4" t="s">
        <v>27</v>
      </c>
      <c r="C477" s="4">
        <v>2825</v>
      </c>
      <c r="D477" s="3">
        <v>23</v>
      </c>
      <c r="E477" s="3">
        <v>15</v>
      </c>
      <c r="F477" s="3">
        <v>98</v>
      </c>
      <c r="G477" s="1">
        <v>1059.78</v>
      </c>
      <c r="H477" s="1" t="s">
        <v>14</v>
      </c>
      <c r="I477" s="1" t="s">
        <v>13</v>
      </c>
      <c r="J477" s="1" t="s">
        <v>18</v>
      </c>
      <c r="K477" s="1" t="s">
        <v>15</v>
      </c>
      <c r="L477" s="1" t="s">
        <v>28</v>
      </c>
    </row>
    <row r="478" spans="1:12" x14ac:dyDescent="0.25">
      <c r="A478" s="5">
        <v>46134</v>
      </c>
      <c r="B478" s="4" t="s">
        <v>27</v>
      </c>
      <c r="C478" s="4">
        <v>4110</v>
      </c>
      <c r="D478" s="3">
        <v>24</v>
      </c>
      <c r="E478" s="3">
        <v>49</v>
      </c>
      <c r="F478" s="3">
        <v>34</v>
      </c>
      <c r="G478" s="1">
        <v>201.92</v>
      </c>
      <c r="H478" s="1" t="s">
        <v>14</v>
      </c>
      <c r="I478" s="1" t="s">
        <v>3</v>
      </c>
      <c r="J478" s="1" t="s">
        <v>18</v>
      </c>
      <c r="K478" s="1" t="s">
        <v>15</v>
      </c>
      <c r="L478" s="1" t="s">
        <v>28</v>
      </c>
    </row>
    <row r="479" spans="1:12" x14ac:dyDescent="0.25">
      <c r="A479" s="5">
        <v>46135</v>
      </c>
      <c r="B479" s="4" t="s">
        <v>27</v>
      </c>
      <c r="C479" s="4">
        <v>3509</v>
      </c>
      <c r="D479" s="3">
        <v>25</v>
      </c>
      <c r="E479" s="3">
        <v>7</v>
      </c>
      <c r="F479" s="3">
        <v>327</v>
      </c>
      <c r="G479" s="1">
        <v>7.56</v>
      </c>
      <c r="H479" s="1" t="s">
        <v>12</v>
      </c>
      <c r="I479" s="1" t="s">
        <v>3</v>
      </c>
      <c r="J479" s="1" t="s">
        <v>11</v>
      </c>
      <c r="K479" s="1" t="s">
        <v>17</v>
      </c>
      <c r="L479" s="1" t="s">
        <v>26</v>
      </c>
    </row>
    <row r="480" spans="1:12" x14ac:dyDescent="0.25">
      <c r="A480" s="5">
        <v>46136</v>
      </c>
      <c r="B480" s="4" t="s">
        <v>27</v>
      </c>
      <c r="C480" s="4">
        <v>3087</v>
      </c>
      <c r="D480" s="3">
        <v>10</v>
      </c>
      <c r="E480" s="3">
        <v>18</v>
      </c>
      <c r="F480" s="3">
        <v>211</v>
      </c>
      <c r="G480" s="1">
        <v>1799.22</v>
      </c>
      <c r="H480" s="1" t="s">
        <v>12</v>
      </c>
      <c r="I480" s="1" t="s">
        <v>13</v>
      </c>
      <c r="J480" s="1" t="s">
        <v>11</v>
      </c>
      <c r="K480" s="1" t="s">
        <v>7</v>
      </c>
      <c r="L480" s="1" t="s">
        <v>26</v>
      </c>
    </row>
    <row r="481" spans="1:12" x14ac:dyDescent="0.25">
      <c r="A481" s="5">
        <v>46137</v>
      </c>
      <c r="B481" s="4" t="s">
        <v>27</v>
      </c>
      <c r="C481" s="4">
        <v>1923</v>
      </c>
      <c r="D481" s="3">
        <v>19</v>
      </c>
      <c r="E481" s="3">
        <v>29</v>
      </c>
      <c r="F481" s="3">
        <v>62</v>
      </c>
      <c r="G481" s="1">
        <v>1932.31</v>
      </c>
      <c r="H481" s="1" t="s">
        <v>12</v>
      </c>
      <c r="I481" s="1" t="s">
        <v>3</v>
      </c>
      <c r="J481" s="1" t="s">
        <v>18</v>
      </c>
      <c r="K481" s="1" t="s">
        <v>10</v>
      </c>
      <c r="L481" s="1" t="s">
        <v>26</v>
      </c>
    </row>
    <row r="482" spans="1:12" x14ac:dyDescent="0.25">
      <c r="A482" s="5">
        <v>46138</v>
      </c>
      <c r="B482" s="4" t="s">
        <v>27</v>
      </c>
      <c r="C482" s="4">
        <v>4184</v>
      </c>
      <c r="D482" s="3">
        <v>31</v>
      </c>
      <c r="E482" s="3">
        <v>32</v>
      </c>
      <c r="F482" s="3">
        <v>154</v>
      </c>
      <c r="G482" s="1">
        <v>387.65</v>
      </c>
      <c r="H482" s="1" t="s">
        <v>14</v>
      </c>
      <c r="I482" s="1" t="s">
        <v>3</v>
      </c>
      <c r="J482" s="1" t="s">
        <v>18</v>
      </c>
      <c r="K482" s="1" t="s">
        <v>21</v>
      </c>
      <c r="L482" s="1" t="s">
        <v>26</v>
      </c>
    </row>
    <row r="483" spans="1:12" x14ac:dyDescent="0.25">
      <c r="A483" s="5">
        <v>46139</v>
      </c>
      <c r="B483" s="4" t="s">
        <v>27</v>
      </c>
      <c r="C483" s="4">
        <v>3228</v>
      </c>
      <c r="D483" s="3">
        <v>25</v>
      </c>
      <c r="E483" s="3">
        <v>8</v>
      </c>
      <c r="F483" s="3">
        <v>356</v>
      </c>
      <c r="G483" s="1">
        <v>304.2</v>
      </c>
      <c r="H483" s="1" t="s">
        <v>12</v>
      </c>
      <c r="I483" s="1" t="s">
        <v>13</v>
      </c>
      <c r="J483" s="1" t="s">
        <v>18</v>
      </c>
      <c r="K483" s="1" t="s">
        <v>10</v>
      </c>
      <c r="L483" s="1" t="s">
        <v>26</v>
      </c>
    </row>
    <row r="484" spans="1:12" x14ac:dyDescent="0.25">
      <c r="A484" s="5">
        <v>46140</v>
      </c>
      <c r="B484" s="4" t="s">
        <v>27</v>
      </c>
      <c r="C484" s="4">
        <v>3218</v>
      </c>
      <c r="D484" s="3">
        <v>35</v>
      </c>
      <c r="E484" s="3">
        <v>14</v>
      </c>
      <c r="F484" s="3">
        <v>358</v>
      </c>
      <c r="G484" s="1">
        <v>1703.24</v>
      </c>
      <c r="H484" s="1" t="s">
        <v>12</v>
      </c>
      <c r="I484" s="1" t="s">
        <v>3</v>
      </c>
      <c r="J484" s="1" t="s">
        <v>18</v>
      </c>
      <c r="K484" s="1" t="s">
        <v>10</v>
      </c>
      <c r="L484" s="1" t="s">
        <v>26</v>
      </c>
    </row>
    <row r="485" spans="1:12" x14ac:dyDescent="0.25">
      <c r="A485" s="5">
        <v>46141</v>
      </c>
      <c r="B485" s="4" t="s">
        <v>27</v>
      </c>
      <c r="C485" s="4">
        <v>3403</v>
      </c>
      <c r="D485" s="3">
        <v>22</v>
      </c>
      <c r="E485" s="3">
        <v>35</v>
      </c>
      <c r="F485" s="3">
        <v>304</v>
      </c>
      <c r="G485" s="1">
        <v>1169.42</v>
      </c>
      <c r="H485" s="1" t="s">
        <v>19</v>
      </c>
      <c r="I485" s="1" t="s">
        <v>13</v>
      </c>
      <c r="J485" s="1" t="s">
        <v>11</v>
      </c>
      <c r="K485" s="1" t="s">
        <v>7</v>
      </c>
      <c r="L485" s="1" t="s">
        <v>26</v>
      </c>
    </row>
    <row r="486" spans="1:12" x14ac:dyDescent="0.25">
      <c r="A486" s="5">
        <v>46142</v>
      </c>
      <c r="B486" s="4" t="s">
        <v>27</v>
      </c>
      <c r="C486" s="4">
        <v>1962</v>
      </c>
      <c r="D486" s="3">
        <v>32</v>
      </c>
      <c r="E486" s="3">
        <v>22</v>
      </c>
      <c r="F486" s="3">
        <v>416</v>
      </c>
      <c r="G486" s="1">
        <v>2335.5500000000002</v>
      </c>
      <c r="H486" s="1" t="s">
        <v>14</v>
      </c>
      <c r="I486" s="1" t="s">
        <v>13</v>
      </c>
      <c r="J486" s="1" t="s">
        <v>2</v>
      </c>
      <c r="K486" s="1" t="s">
        <v>10</v>
      </c>
      <c r="L486" s="1" t="s">
        <v>26</v>
      </c>
    </row>
    <row r="487" spans="1:12" x14ac:dyDescent="0.25">
      <c r="A487" s="5">
        <v>46143</v>
      </c>
      <c r="B487" s="4" t="s">
        <v>23</v>
      </c>
      <c r="C487" s="4">
        <v>2248</v>
      </c>
      <c r="D487" s="3">
        <v>21</v>
      </c>
      <c r="E487" s="3">
        <v>47</v>
      </c>
      <c r="F487" s="3">
        <v>276</v>
      </c>
      <c r="G487" s="1">
        <v>957.01</v>
      </c>
      <c r="H487" s="1" t="s">
        <v>25</v>
      </c>
      <c r="I487" s="1" t="s">
        <v>13</v>
      </c>
      <c r="J487" s="1" t="s">
        <v>18</v>
      </c>
      <c r="K487" s="1" t="s">
        <v>7</v>
      </c>
      <c r="L487" s="1" t="s">
        <v>26</v>
      </c>
    </row>
    <row r="488" spans="1:12" x14ac:dyDescent="0.25">
      <c r="A488" s="5">
        <v>46144</v>
      </c>
      <c r="B488" s="4" t="s">
        <v>23</v>
      </c>
      <c r="C488" s="4">
        <v>3745</v>
      </c>
      <c r="D488" s="3">
        <v>22</v>
      </c>
      <c r="E488" s="3">
        <v>23</v>
      </c>
      <c r="F488" s="3">
        <v>27</v>
      </c>
      <c r="G488" s="1">
        <v>1684.75</v>
      </c>
      <c r="H488" s="1" t="s">
        <v>25</v>
      </c>
      <c r="I488" s="1" t="s">
        <v>3</v>
      </c>
      <c r="J488" s="1" t="s">
        <v>18</v>
      </c>
      <c r="K488" s="1" t="s">
        <v>7</v>
      </c>
      <c r="L488" s="1" t="s">
        <v>26</v>
      </c>
    </row>
    <row r="489" spans="1:12" x14ac:dyDescent="0.25">
      <c r="A489" s="5">
        <v>46145</v>
      </c>
      <c r="B489" s="4" t="s">
        <v>23</v>
      </c>
      <c r="C489" s="4">
        <v>3297</v>
      </c>
      <c r="D489" s="3">
        <v>19</v>
      </c>
      <c r="E489" s="3">
        <v>12</v>
      </c>
      <c r="F489" s="3">
        <v>184</v>
      </c>
      <c r="G489" s="1">
        <v>2238.59</v>
      </c>
      <c r="H489" s="1" t="s">
        <v>12</v>
      </c>
      <c r="I489" s="1" t="s">
        <v>3</v>
      </c>
      <c r="J489" s="1" t="s">
        <v>18</v>
      </c>
      <c r="K489" s="1" t="s">
        <v>1</v>
      </c>
      <c r="L489" s="1" t="s">
        <v>26</v>
      </c>
    </row>
    <row r="490" spans="1:12" x14ac:dyDescent="0.25">
      <c r="A490" s="5">
        <v>46146</v>
      </c>
      <c r="B490" s="4" t="s">
        <v>23</v>
      </c>
      <c r="C490" s="4">
        <v>4876</v>
      </c>
      <c r="D490" s="3">
        <v>24</v>
      </c>
      <c r="E490" s="3">
        <v>41</v>
      </c>
      <c r="F490" s="3">
        <v>190</v>
      </c>
      <c r="G490" s="1">
        <v>2110.4299999999998</v>
      </c>
      <c r="H490" s="1" t="s">
        <v>4</v>
      </c>
      <c r="I490" s="1" t="s">
        <v>3</v>
      </c>
      <c r="J490" s="1" t="s">
        <v>11</v>
      </c>
      <c r="K490" s="1" t="s">
        <v>7</v>
      </c>
      <c r="L490" s="1" t="s">
        <v>26</v>
      </c>
    </row>
    <row r="491" spans="1:12" x14ac:dyDescent="0.25">
      <c r="A491" s="5">
        <v>46147</v>
      </c>
      <c r="B491" s="4" t="s">
        <v>23</v>
      </c>
      <c r="C491" s="4">
        <v>2625</v>
      </c>
      <c r="D491" s="3">
        <v>24</v>
      </c>
      <c r="E491" s="3">
        <v>23</v>
      </c>
      <c r="F491" s="3">
        <v>49</v>
      </c>
      <c r="G491" s="1">
        <v>483.76</v>
      </c>
      <c r="H491" s="1" t="s">
        <v>4</v>
      </c>
      <c r="I491" s="1" t="s">
        <v>13</v>
      </c>
      <c r="J491" s="1" t="s">
        <v>18</v>
      </c>
      <c r="K491" s="1" t="s">
        <v>1</v>
      </c>
      <c r="L491" s="1" t="s">
        <v>26</v>
      </c>
    </row>
    <row r="492" spans="1:12" x14ac:dyDescent="0.25">
      <c r="A492" s="5">
        <v>46148</v>
      </c>
      <c r="B492" s="4" t="s">
        <v>23</v>
      </c>
      <c r="C492" s="4">
        <v>2109</v>
      </c>
      <c r="D492" s="3">
        <v>32</v>
      </c>
      <c r="E492" s="3">
        <v>29</v>
      </c>
      <c r="F492" s="3">
        <v>101</v>
      </c>
      <c r="G492" s="1">
        <v>281.25</v>
      </c>
      <c r="H492" s="1" t="s">
        <v>14</v>
      </c>
      <c r="I492" s="1" t="s">
        <v>13</v>
      </c>
      <c r="J492" s="1" t="s">
        <v>18</v>
      </c>
      <c r="K492" s="1" t="s">
        <v>17</v>
      </c>
      <c r="L492" s="1" t="s">
        <v>26</v>
      </c>
    </row>
    <row r="493" spans="1:12" x14ac:dyDescent="0.25">
      <c r="A493" s="5">
        <v>46149</v>
      </c>
      <c r="B493" s="4" t="s">
        <v>23</v>
      </c>
      <c r="C493" s="4">
        <v>4171</v>
      </c>
      <c r="D493" s="3">
        <v>19</v>
      </c>
      <c r="E493" s="3">
        <v>28</v>
      </c>
      <c r="F493" s="3">
        <v>429</v>
      </c>
      <c r="G493" s="1">
        <v>1385.44</v>
      </c>
      <c r="H493" s="1" t="s">
        <v>14</v>
      </c>
      <c r="I493" s="1" t="s">
        <v>3</v>
      </c>
      <c r="J493" s="1" t="s">
        <v>18</v>
      </c>
      <c r="K493" s="1" t="s">
        <v>1</v>
      </c>
      <c r="L493" s="1" t="s">
        <v>26</v>
      </c>
    </row>
    <row r="494" spans="1:12" x14ac:dyDescent="0.25">
      <c r="A494" s="5">
        <v>46150</v>
      </c>
      <c r="B494" s="4" t="s">
        <v>23</v>
      </c>
      <c r="C494" s="4">
        <v>3127</v>
      </c>
      <c r="D494" s="3">
        <v>23</v>
      </c>
      <c r="E494" s="3">
        <v>14</v>
      </c>
      <c r="F494" s="3">
        <v>359</v>
      </c>
      <c r="G494" s="1">
        <v>313.95999999999998</v>
      </c>
      <c r="H494" s="1" t="s">
        <v>25</v>
      </c>
      <c r="I494" s="1" t="s">
        <v>13</v>
      </c>
      <c r="J494" s="1" t="s">
        <v>11</v>
      </c>
      <c r="K494" s="1" t="s">
        <v>15</v>
      </c>
      <c r="L494" s="1" t="s">
        <v>24</v>
      </c>
    </row>
    <row r="495" spans="1:12" x14ac:dyDescent="0.25">
      <c r="A495" s="5">
        <v>46151</v>
      </c>
      <c r="B495" s="4" t="s">
        <v>23</v>
      </c>
      <c r="C495" s="4">
        <v>2953</v>
      </c>
      <c r="D495" s="3">
        <v>22</v>
      </c>
      <c r="E495" s="3">
        <v>31</v>
      </c>
      <c r="F495" s="3">
        <v>197</v>
      </c>
      <c r="G495" s="1">
        <v>1545.19</v>
      </c>
      <c r="H495" s="1" t="s">
        <v>14</v>
      </c>
      <c r="I495" s="1" t="s">
        <v>13</v>
      </c>
      <c r="J495" s="1" t="s">
        <v>2</v>
      </c>
      <c r="K495" s="1" t="s">
        <v>10</v>
      </c>
      <c r="L495" s="1" t="s">
        <v>24</v>
      </c>
    </row>
    <row r="496" spans="1:12" x14ac:dyDescent="0.25">
      <c r="A496" s="5">
        <v>46152</v>
      </c>
      <c r="B496" s="4" t="s">
        <v>23</v>
      </c>
      <c r="C496" s="4">
        <v>2740</v>
      </c>
      <c r="D496" s="3">
        <v>23</v>
      </c>
      <c r="E496" s="3">
        <v>39</v>
      </c>
      <c r="F496" s="3">
        <v>250</v>
      </c>
      <c r="G496" s="1">
        <v>1492.48</v>
      </c>
      <c r="H496" s="1" t="s">
        <v>12</v>
      </c>
      <c r="I496" s="1" t="s">
        <v>13</v>
      </c>
      <c r="J496" s="1" t="s">
        <v>8</v>
      </c>
      <c r="K496" s="1" t="s">
        <v>17</v>
      </c>
      <c r="L496" s="1" t="s">
        <v>24</v>
      </c>
    </row>
    <row r="497" spans="1:12" x14ac:dyDescent="0.25">
      <c r="A497" s="5">
        <v>46153</v>
      </c>
      <c r="B497" s="4" t="s">
        <v>23</v>
      </c>
      <c r="C497" s="4">
        <v>1349</v>
      </c>
      <c r="D497" s="3">
        <v>19</v>
      </c>
      <c r="E497" s="3">
        <v>29</v>
      </c>
      <c r="F497" s="3">
        <v>382</v>
      </c>
      <c r="G497" s="1">
        <v>705.57</v>
      </c>
      <c r="H497" s="1" t="s">
        <v>25</v>
      </c>
      <c r="I497" s="1" t="s">
        <v>13</v>
      </c>
      <c r="J497" s="1" t="s">
        <v>18</v>
      </c>
      <c r="K497" s="1" t="s">
        <v>7</v>
      </c>
      <c r="L497" s="1" t="s">
        <v>24</v>
      </c>
    </row>
    <row r="498" spans="1:12" x14ac:dyDescent="0.25">
      <c r="A498" s="5">
        <v>46154</v>
      </c>
      <c r="B498" s="4" t="s">
        <v>23</v>
      </c>
      <c r="C498" s="4">
        <v>3467</v>
      </c>
      <c r="D498" s="3">
        <v>36</v>
      </c>
      <c r="E498" s="3">
        <v>63</v>
      </c>
      <c r="F498" s="3">
        <v>368</v>
      </c>
      <c r="G498" s="1">
        <v>2300.91</v>
      </c>
      <c r="H498" s="1" t="s">
        <v>12</v>
      </c>
      <c r="I498" s="1" t="s">
        <v>3</v>
      </c>
      <c r="J498" s="1" t="s">
        <v>18</v>
      </c>
      <c r="K498" s="1" t="s">
        <v>10</v>
      </c>
      <c r="L498" s="1" t="s">
        <v>24</v>
      </c>
    </row>
    <row r="499" spans="1:12" x14ac:dyDescent="0.25">
      <c r="A499" s="5">
        <v>46155</v>
      </c>
      <c r="B499" s="4" t="s">
        <v>23</v>
      </c>
      <c r="C499" s="4">
        <v>2958</v>
      </c>
      <c r="D499" s="3">
        <v>22</v>
      </c>
      <c r="E499" s="3">
        <v>26</v>
      </c>
      <c r="F499" s="3">
        <v>265</v>
      </c>
      <c r="G499" s="1">
        <v>1734.12</v>
      </c>
      <c r="H499" s="1" t="s">
        <v>19</v>
      </c>
      <c r="I499" s="1" t="s">
        <v>3</v>
      </c>
      <c r="J499" s="1" t="s">
        <v>11</v>
      </c>
      <c r="K499" s="1" t="s">
        <v>17</v>
      </c>
      <c r="L499" s="1" t="s">
        <v>24</v>
      </c>
    </row>
    <row r="500" spans="1:12" x14ac:dyDescent="0.25">
      <c r="A500" s="5">
        <v>46156</v>
      </c>
      <c r="B500" s="4" t="s">
        <v>23</v>
      </c>
      <c r="C500" s="4">
        <v>2243</v>
      </c>
      <c r="D500" s="3">
        <v>10</v>
      </c>
      <c r="E500" s="3">
        <v>13</v>
      </c>
      <c r="F500" s="3">
        <v>302</v>
      </c>
      <c r="G500" s="1">
        <v>1196.67</v>
      </c>
      <c r="H500" s="1" t="s">
        <v>19</v>
      </c>
      <c r="I500" s="1" t="s">
        <v>13</v>
      </c>
      <c r="J500" s="1" t="s">
        <v>18</v>
      </c>
      <c r="K500" s="1" t="s">
        <v>15</v>
      </c>
      <c r="L500" s="1" t="s">
        <v>24</v>
      </c>
    </row>
    <row r="501" spans="1:12" x14ac:dyDescent="0.25">
      <c r="A501" s="5">
        <v>46157</v>
      </c>
      <c r="B501" s="4" t="s">
        <v>23</v>
      </c>
      <c r="C501" s="4">
        <v>3528</v>
      </c>
      <c r="D501" s="3">
        <v>24</v>
      </c>
      <c r="E501" s="3">
        <v>25</v>
      </c>
      <c r="F501" s="3">
        <v>303</v>
      </c>
      <c r="G501" s="1">
        <v>1230.08</v>
      </c>
      <c r="H501" s="1" t="s">
        <v>12</v>
      </c>
      <c r="I501" s="1" t="s">
        <v>13</v>
      </c>
      <c r="J501" s="1" t="s">
        <v>11</v>
      </c>
      <c r="K501" s="1" t="s">
        <v>1</v>
      </c>
      <c r="L501" s="1" t="s">
        <v>24</v>
      </c>
    </row>
    <row r="502" spans="1:12" x14ac:dyDescent="0.25">
      <c r="A502" s="5">
        <v>46158</v>
      </c>
      <c r="B502" s="4" t="s">
        <v>23</v>
      </c>
      <c r="C502" s="4">
        <v>3375</v>
      </c>
      <c r="D502" s="3">
        <v>22</v>
      </c>
      <c r="E502" s="3">
        <v>37</v>
      </c>
      <c r="F502" s="3">
        <v>194</v>
      </c>
      <c r="G502" s="1">
        <v>715.2</v>
      </c>
      <c r="H502" s="1" t="s">
        <v>14</v>
      </c>
      <c r="I502" s="1" t="s">
        <v>3</v>
      </c>
      <c r="J502" s="1" t="s">
        <v>11</v>
      </c>
      <c r="K502" s="1" t="s">
        <v>10</v>
      </c>
      <c r="L502" s="1" t="s">
        <v>24</v>
      </c>
    </row>
    <row r="503" spans="1:12" x14ac:dyDescent="0.25">
      <c r="A503" s="5">
        <v>46159</v>
      </c>
      <c r="B503" s="4" t="s">
        <v>23</v>
      </c>
      <c r="C503" s="4">
        <v>3004</v>
      </c>
      <c r="D503" s="3">
        <v>32</v>
      </c>
      <c r="E503" s="3">
        <v>56</v>
      </c>
      <c r="F503" s="3">
        <v>231</v>
      </c>
      <c r="G503" s="1">
        <v>1834.87</v>
      </c>
      <c r="H503" s="1" t="s">
        <v>12</v>
      </c>
      <c r="I503" s="1" t="s">
        <v>3</v>
      </c>
      <c r="J503" s="1" t="s">
        <v>11</v>
      </c>
      <c r="K503" s="1" t="s">
        <v>15</v>
      </c>
      <c r="L503" s="1" t="s">
        <v>24</v>
      </c>
    </row>
    <row r="504" spans="1:12" x14ac:dyDescent="0.25">
      <c r="A504" s="5">
        <v>46160</v>
      </c>
      <c r="B504" s="4" t="s">
        <v>23</v>
      </c>
      <c r="C504" s="4">
        <v>3274</v>
      </c>
      <c r="D504" s="3">
        <v>21</v>
      </c>
      <c r="E504" s="3">
        <v>37</v>
      </c>
      <c r="F504" s="3">
        <v>61</v>
      </c>
      <c r="G504" s="1">
        <v>832.47</v>
      </c>
      <c r="H504" s="1" t="s">
        <v>12</v>
      </c>
      <c r="I504" s="1" t="s">
        <v>3</v>
      </c>
      <c r="J504" s="1" t="s">
        <v>18</v>
      </c>
      <c r="K504" s="1" t="s">
        <v>7</v>
      </c>
      <c r="L504" s="1" t="s">
        <v>24</v>
      </c>
    </row>
    <row r="505" spans="1:12" x14ac:dyDescent="0.25">
      <c r="A505" s="5">
        <v>46161</v>
      </c>
      <c r="B505" s="4" t="s">
        <v>23</v>
      </c>
      <c r="C505" s="4">
        <v>2887</v>
      </c>
      <c r="D505" s="3">
        <v>28</v>
      </c>
      <c r="E505" s="3">
        <v>27</v>
      </c>
      <c r="F505" s="3">
        <v>275</v>
      </c>
      <c r="G505" s="1">
        <v>389.98</v>
      </c>
      <c r="H505" s="1" t="s">
        <v>14</v>
      </c>
      <c r="I505" s="1" t="s">
        <v>13</v>
      </c>
      <c r="J505" s="1" t="s">
        <v>11</v>
      </c>
      <c r="K505" s="1" t="s">
        <v>1</v>
      </c>
      <c r="L505" s="1" t="s">
        <v>24</v>
      </c>
    </row>
    <row r="506" spans="1:12" x14ac:dyDescent="0.25">
      <c r="A506" s="5">
        <v>46162</v>
      </c>
      <c r="B506" s="4" t="s">
        <v>23</v>
      </c>
      <c r="C506" s="4">
        <v>4588</v>
      </c>
      <c r="D506" s="3">
        <v>28</v>
      </c>
      <c r="E506" s="3">
        <v>13</v>
      </c>
      <c r="F506" s="3">
        <v>326</v>
      </c>
      <c r="G506" s="1">
        <v>931.32</v>
      </c>
      <c r="H506" s="1" t="s">
        <v>12</v>
      </c>
      <c r="I506" s="1" t="s">
        <v>13</v>
      </c>
      <c r="J506" s="1" t="s">
        <v>11</v>
      </c>
      <c r="K506" s="1" t="s">
        <v>15</v>
      </c>
      <c r="L506" s="1" t="s">
        <v>24</v>
      </c>
    </row>
    <row r="507" spans="1:12" x14ac:dyDescent="0.25">
      <c r="A507" s="5">
        <v>46163</v>
      </c>
      <c r="B507" s="4" t="s">
        <v>23</v>
      </c>
      <c r="C507" s="4">
        <v>2902</v>
      </c>
      <c r="D507" s="3">
        <v>27</v>
      </c>
      <c r="E507" s="3">
        <v>42</v>
      </c>
      <c r="F507" s="3">
        <v>258</v>
      </c>
      <c r="G507" s="1">
        <v>585.29</v>
      </c>
      <c r="H507" s="1" t="s">
        <v>12</v>
      </c>
      <c r="I507" s="1" t="s">
        <v>13</v>
      </c>
      <c r="J507" s="1" t="s">
        <v>11</v>
      </c>
      <c r="K507" s="1" t="s">
        <v>15</v>
      </c>
      <c r="L507" s="1" t="s">
        <v>24</v>
      </c>
    </row>
    <row r="508" spans="1:12" x14ac:dyDescent="0.25">
      <c r="A508" s="5">
        <v>46164</v>
      </c>
      <c r="B508" s="4" t="s">
        <v>23</v>
      </c>
      <c r="C508" s="4">
        <v>1873</v>
      </c>
      <c r="D508" s="3">
        <v>34</v>
      </c>
      <c r="E508" s="3">
        <v>8</v>
      </c>
      <c r="F508" s="3">
        <v>369</v>
      </c>
      <c r="G508" s="1">
        <v>863.97</v>
      </c>
      <c r="H508" s="1" t="s">
        <v>12</v>
      </c>
      <c r="I508" s="1" t="s">
        <v>13</v>
      </c>
      <c r="J508" s="1" t="s">
        <v>18</v>
      </c>
      <c r="K508" s="1" t="s">
        <v>7</v>
      </c>
      <c r="L508" s="1" t="s">
        <v>24</v>
      </c>
    </row>
    <row r="509" spans="1:12" x14ac:dyDescent="0.25">
      <c r="A509" s="5">
        <v>46165</v>
      </c>
      <c r="B509" s="4" t="s">
        <v>23</v>
      </c>
      <c r="C509" s="4">
        <v>3278</v>
      </c>
      <c r="D509" s="3">
        <v>17</v>
      </c>
      <c r="E509" s="3">
        <v>20</v>
      </c>
      <c r="F509" s="3">
        <v>156</v>
      </c>
      <c r="G509" s="1">
        <v>550</v>
      </c>
      <c r="H509" s="1" t="s">
        <v>12</v>
      </c>
      <c r="I509" s="1" t="s">
        <v>13</v>
      </c>
      <c r="J509" s="1" t="s">
        <v>8</v>
      </c>
      <c r="K509" s="1" t="s">
        <v>1</v>
      </c>
      <c r="L509" s="1" t="s">
        <v>9</v>
      </c>
    </row>
    <row r="510" spans="1:12" x14ac:dyDescent="0.25">
      <c r="A510" s="5">
        <v>46166</v>
      </c>
      <c r="B510" s="4" t="s">
        <v>23</v>
      </c>
      <c r="C510" s="4">
        <v>1456</v>
      </c>
      <c r="D510" s="3">
        <v>17</v>
      </c>
      <c r="E510" s="3">
        <v>32</v>
      </c>
      <c r="F510" s="3">
        <v>301</v>
      </c>
      <c r="G510" s="1">
        <v>2005</v>
      </c>
      <c r="H510" s="1" t="s">
        <v>14</v>
      </c>
      <c r="I510" s="1" t="s">
        <v>13</v>
      </c>
      <c r="J510" s="1" t="s">
        <v>2</v>
      </c>
      <c r="K510" s="1" t="s">
        <v>1</v>
      </c>
      <c r="L510" s="1" t="s">
        <v>20</v>
      </c>
    </row>
    <row r="511" spans="1:12" x14ac:dyDescent="0.25">
      <c r="A511" s="5">
        <v>46167</v>
      </c>
      <c r="B511" s="4" t="s">
        <v>23</v>
      </c>
      <c r="C511" s="4">
        <v>2210</v>
      </c>
      <c r="D511" s="3">
        <v>14</v>
      </c>
      <c r="E511" s="3">
        <v>51</v>
      </c>
      <c r="F511" s="3">
        <v>116</v>
      </c>
      <c r="G511" s="1">
        <v>1814</v>
      </c>
      <c r="H511" s="1" t="s">
        <v>12</v>
      </c>
      <c r="I511" s="1" t="s">
        <v>3</v>
      </c>
      <c r="J511" s="1" t="s">
        <v>18</v>
      </c>
      <c r="K511" s="1" t="s">
        <v>17</v>
      </c>
      <c r="L511" s="1" t="s">
        <v>9</v>
      </c>
    </row>
    <row r="512" spans="1:12" x14ac:dyDescent="0.25">
      <c r="A512" s="5">
        <v>46168</v>
      </c>
      <c r="B512" s="4" t="s">
        <v>23</v>
      </c>
      <c r="C512" s="4">
        <v>1661</v>
      </c>
      <c r="D512" s="3">
        <v>27</v>
      </c>
      <c r="E512" s="3">
        <v>14</v>
      </c>
      <c r="F512" s="3">
        <v>427</v>
      </c>
      <c r="G512" s="1">
        <v>1512</v>
      </c>
      <c r="H512" s="1" t="s">
        <v>19</v>
      </c>
      <c r="I512" s="1" t="s">
        <v>13</v>
      </c>
      <c r="J512" s="1" t="s">
        <v>8</v>
      </c>
      <c r="K512" s="1" t="s">
        <v>21</v>
      </c>
      <c r="L512" s="1" t="s">
        <v>9</v>
      </c>
    </row>
    <row r="513" spans="1:12" x14ac:dyDescent="0.25">
      <c r="A513" s="5">
        <v>46169</v>
      </c>
      <c r="B513" s="4" t="s">
        <v>23</v>
      </c>
      <c r="C513" s="4">
        <v>2507</v>
      </c>
      <c r="D513" s="3">
        <v>21</v>
      </c>
      <c r="E513" s="3">
        <v>22</v>
      </c>
      <c r="F513" s="3">
        <v>327</v>
      </c>
      <c r="G513" s="1">
        <v>286</v>
      </c>
      <c r="H513" s="1" t="s">
        <v>19</v>
      </c>
      <c r="I513" s="1" t="s">
        <v>3</v>
      </c>
      <c r="J513" s="1" t="s">
        <v>18</v>
      </c>
      <c r="K513" s="1" t="s">
        <v>15</v>
      </c>
      <c r="L513" s="1" t="s">
        <v>16</v>
      </c>
    </row>
    <row r="514" spans="1:12" x14ac:dyDescent="0.25">
      <c r="A514" s="5">
        <v>46170</v>
      </c>
      <c r="B514" s="4" t="s">
        <v>23</v>
      </c>
      <c r="C514" s="4">
        <v>2778</v>
      </c>
      <c r="D514" s="3">
        <v>9</v>
      </c>
      <c r="E514" s="3">
        <v>3</v>
      </c>
      <c r="F514" s="3">
        <v>197</v>
      </c>
      <c r="G514" s="1">
        <v>1574</v>
      </c>
      <c r="H514" s="1" t="s">
        <v>19</v>
      </c>
      <c r="I514" s="1" t="s">
        <v>3</v>
      </c>
      <c r="J514" s="1" t="s">
        <v>8</v>
      </c>
      <c r="K514" s="1" t="s">
        <v>7</v>
      </c>
      <c r="L514" s="1" t="s">
        <v>20</v>
      </c>
    </row>
    <row r="515" spans="1:12" x14ac:dyDescent="0.25">
      <c r="A515" s="5">
        <v>46171</v>
      </c>
      <c r="B515" s="4" t="s">
        <v>23</v>
      </c>
      <c r="C515" s="4">
        <v>3251</v>
      </c>
      <c r="D515" s="3">
        <v>41</v>
      </c>
      <c r="E515" s="3">
        <v>14</v>
      </c>
      <c r="F515" s="3">
        <v>251</v>
      </c>
      <c r="G515" s="1">
        <v>1225</v>
      </c>
      <c r="H515" s="1" t="s">
        <v>4</v>
      </c>
      <c r="I515" s="1" t="s">
        <v>3</v>
      </c>
      <c r="J515" s="1" t="s">
        <v>8</v>
      </c>
      <c r="K515" s="1" t="s">
        <v>15</v>
      </c>
      <c r="L515" s="1" t="s">
        <v>9</v>
      </c>
    </row>
    <row r="516" spans="1:12" x14ac:dyDescent="0.25">
      <c r="A516" s="5">
        <v>46172</v>
      </c>
      <c r="B516" s="4" t="s">
        <v>23</v>
      </c>
      <c r="C516" s="4">
        <v>2613</v>
      </c>
      <c r="D516" s="3">
        <v>10</v>
      </c>
      <c r="E516" s="3">
        <v>24</v>
      </c>
      <c r="F516" s="3">
        <v>200</v>
      </c>
      <c r="G516" s="1">
        <v>75</v>
      </c>
      <c r="H516" s="1" t="s">
        <v>12</v>
      </c>
      <c r="I516" s="1" t="s">
        <v>13</v>
      </c>
      <c r="J516" s="1" t="s">
        <v>2</v>
      </c>
      <c r="K516" s="1" t="s">
        <v>15</v>
      </c>
      <c r="L516" s="1" t="s">
        <v>6</v>
      </c>
    </row>
    <row r="517" spans="1:12" x14ac:dyDescent="0.25">
      <c r="A517" s="5">
        <v>46173</v>
      </c>
      <c r="B517" s="4" t="s">
        <v>23</v>
      </c>
      <c r="C517" s="4">
        <v>4987</v>
      </c>
      <c r="D517" s="3">
        <v>26</v>
      </c>
      <c r="E517" s="3">
        <v>39</v>
      </c>
      <c r="F517" s="3">
        <v>354</v>
      </c>
      <c r="G517" s="1">
        <v>2174</v>
      </c>
      <c r="H517" s="1" t="s">
        <v>19</v>
      </c>
      <c r="I517" s="1" t="s">
        <v>13</v>
      </c>
      <c r="J517" s="1" t="s">
        <v>11</v>
      </c>
      <c r="K517" s="1" t="s">
        <v>15</v>
      </c>
      <c r="L517" s="1" t="s">
        <v>0</v>
      </c>
    </row>
    <row r="518" spans="1:12" x14ac:dyDescent="0.25">
      <c r="A518" s="5">
        <v>46174</v>
      </c>
      <c r="B518" s="4" t="s">
        <v>22</v>
      </c>
      <c r="C518" s="4">
        <v>2635.74</v>
      </c>
      <c r="D518" s="3">
        <v>33</v>
      </c>
      <c r="E518" s="3">
        <v>42</v>
      </c>
      <c r="F518" s="3">
        <v>247</v>
      </c>
      <c r="G518" s="1">
        <v>2396</v>
      </c>
      <c r="H518" s="1" t="s">
        <v>14</v>
      </c>
      <c r="I518" s="1" t="s">
        <v>3</v>
      </c>
      <c r="J518" s="1" t="s">
        <v>8</v>
      </c>
      <c r="K518" s="1" t="s">
        <v>1</v>
      </c>
      <c r="L518" s="1" t="s">
        <v>20</v>
      </c>
    </row>
    <row r="519" spans="1:12" x14ac:dyDescent="0.25">
      <c r="A519" s="5">
        <v>46175</v>
      </c>
      <c r="B519" s="4" t="s">
        <v>22</v>
      </c>
      <c r="C519" s="4">
        <v>4498.2</v>
      </c>
      <c r="D519" s="3">
        <v>20</v>
      </c>
      <c r="E519" s="3">
        <v>-5</v>
      </c>
      <c r="F519" s="3">
        <v>265</v>
      </c>
      <c r="G519" s="1">
        <v>1374</v>
      </c>
      <c r="H519" s="1" t="s">
        <v>12</v>
      </c>
      <c r="I519" s="1" t="s">
        <v>3</v>
      </c>
      <c r="J519" s="1" t="s">
        <v>8</v>
      </c>
      <c r="K519" s="1" t="s">
        <v>21</v>
      </c>
      <c r="L519" s="1" t="s">
        <v>0</v>
      </c>
    </row>
    <row r="520" spans="1:12" x14ac:dyDescent="0.25">
      <c r="A520" s="5">
        <v>46176</v>
      </c>
      <c r="B520" s="4" t="s">
        <v>22</v>
      </c>
      <c r="C520" s="4">
        <v>3381.3</v>
      </c>
      <c r="D520" s="3">
        <v>7</v>
      </c>
      <c r="E520" s="3">
        <v>7</v>
      </c>
      <c r="F520" s="3">
        <v>75</v>
      </c>
      <c r="G520" s="1">
        <v>935</v>
      </c>
      <c r="H520" s="1" t="s">
        <v>12</v>
      </c>
      <c r="I520" s="1" t="s">
        <v>13</v>
      </c>
      <c r="J520" s="1" t="s">
        <v>2</v>
      </c>
      <c r="K520" s="1" t="s">
        <v>10</v>
      </c>
      <c r="L520" s="1" t="s">
        <v>6</v>
      </c>
    </row>
    <row r="521" spans="1:12" x14ac:dyDescent="0.25">
      <c r="A521" s="5">
        <v>46177</v>
      </c>
      <c r="B521" s="4" t="s">
        <v>22</v>
      </c>
      <c r="C521" s="4">
        <v>4439.7</v>
      </c>
      <c r="D521" s="3">
        <v>25</v>
      </c>
      <c r="E521" s="3">
        <v>57</v>
      </c>
      <c r="F521" s="3">
        <v>182</v>
      </c>
      <c r="G521" s="1">
        <v>657</v>
      </c>
      <c r="H521" s="1" t="s">
        <v>12</v>
      </c>
      <c r="I521" s="1" t="s">
        <v>13</v>
      </c>
      <c r="J521" s="1" t="s">
        <v>8</v>
      </c>
      <c r="K521" s="1" t="s">
        <v>7</v>
      </c>
      <c r="L521" s="1" t="s">
        <v>16</v>
      </c>
    </row>
    <row r="522" spans="1:12" x14ac:dyDescent="0.25">
      <c r="A522" s="5">
        <v>46178</v>
      </c>
      <c r="B522" s="4" t="s">
        <v>22</v>
      </c>
      <c r="C522" s="4">
        <v>1088.0999999999999</v>
      </c>
      <c r="D522" s="3">
        <v>11</v>
      </c>
      <c r="E522" s="3">
        <v>60</v>
      </c>
      <c r="F522" s="3">
        <v>321</v>
      </c>
      <c r="G522" s="1">
        <v>1473</v>
      </c>
      <c r="H522" s="1" t="s">
        <v>14</v>
      </c>
      <c r="I522" s="1" t="s">
        <v>3</v>
      </c>
      <c r="J522" s="1" t="s">
        <v>18</v>
      </c>
      <c r="K522" s="1" t="s">
        <v>15</v>
      </c>
      <c r="L522" s="1" t="s">
        <v>0</v>
      </c>
    </row>
    <row r="523" spans="1:12" x14ac:dyDescent="0.25">
      <c r="A523" s="5">
        <v>46179</v>
      </c>
      <c r="B523" s="4" t="s">
        <v>22</v>
      </c>
      <c r="C523" s="4">
        <v>3338.1</v>
      </c>
      <c r="D523" s="3">
        <v>38</v>
      </c>
      <c r="E523" s="3">
        <v>38</v>
      </c>
      <c r="F523" s="3">
        <v>241</v>
      </c>
      <c r="G523" s="1">
        <v>1240</v>
      </c>
      <c r="H523" s="1" t="s">
        <v>4</v>
      </c>
      <c r="I523" s="1" t="s">
        <v>3</v>
      </c>
      <c r="J523" s="1" t="s">
        <v>18</v>
      </c>
      <c r="K523" s="1" t="s">
        <v>10</v>
      </c>
      <c r="L523" s="1" t="s">
        <v>20</v>
      </c>
    </row>
    <row r="524" spans="1:12" x14ac:dyDescent="0.25">
      <c r="A524" s="5">
        <v>46180</v>
      </c>
      <c r="B524" s="4" t="s">
        <v>22</v>
      </c>
      <c r="C524" s="4">
        <v>2993.4</v>
      </c>
      <c r="D524" s="3">
        <v>42</v>
      </c>
      <c r="E524" s="3">
        <v>12</v>
      </c>
      <c r="F524" s="3">
        <v>345</v>
      </c>
      <c r="G524" s="1">
        <v>1855</v>
      </c>
      <c r="H524" s="1" t="s">
        <v>4</v>
      </c>
      <c r="I524" s="1" t="s">
        <v>13</v>
      </c>
      <c r="J524" s="1" t="s">
        <v>18</v>
      </c>
      <c r="K524" s="1" t="s">
        <v>7</v>
      </c>
      <c r="L524" s="1" t="s">
        <v>6</v>
      </c>
    </row>
    <row r="525" spans="1:12" x14ac:dyDescent="0.25">
      <c r="A525" s="5">
        <v>46181</v>
      </c>
      <c r="B525" s="4" t="s">
        <v>22</v>
      </c>
      <c r="C525" s="4">
        <v>3133.8</v>
      </c>
      <c r="D525" s="3">
        <v>34</v>
      </c>
      <c r="E525" s="3">
        <v>0</v>
      </c>
      <c r="F525" s="3">
        <v>239</v>
      </c>
      <c r="G525" s="1">
        <v>1896</v>
      </c>
      <c r="H525" s="1" t="s">
        <v>14</v>
      </c>
      <c r="I525" s="1" t="s">
        <v>3</v>
      </c>
      <c r="J525" s="1" t="s">
        <v>8</v>
      </c>
      <c r="K525" s="1" t="s">
        <v>10</v>
      </c>
      <c r="L525" s="1" t="s">
        <v>0</v>
      </c>
    </row>
    <row r="526" spans="1:12" x14ac:dyDescent="0.25">
      <c r="A526" s="5">
        <v>46182</v>
      </c>
      <c r="B526" s="4" t="s">
        <v>22</v>
      </c>
      <c r="C526" s="4">
        <v>3788.1</v>
      </c>
      <c r="D526" s="3">
        <v>6</v>
      </c>
      <c r="E526" s="3">
        <v>14</v>
      </c>
      <c r="F526" s="3">
        <v>56</v>
      </c>
      <c r="G526" s="1">
        <v>2463</v>
      </c>
      <c r="H526" s="1" t="s">
        <v>4</v>
      </c>
      <c r="I526" s="1" t="s">
        <v>3</v>
      </c>
      <c r="J526" s="1" t="s">
        <v>2</v>
      </c>
      <c r="K526" s="1" t="s">
        <v>21</v>
      </c>
      <c r="L526" s="1" t="s">
        <v>16</v>
      </c>
    </row>
    <row r="527" spans="1:12" x14ac:dyDescent="0.25">
      <c r="A527" s="5">
        <v>46183</v>
      </c>
      <c r="B527" s="4" t="s">
        <v>22</v>
      </c>
      <c r="C527" s="4">
        <v>3388.5</v>
      </c>
      <c r="D527" s="3">
        <v>12</v>
      </c>
      <c r="E527" s="3">
        <v>-1</v>
      </c>
      <c r="F527" s="3">
        <v>265</v>
      </c>
      <c r="G527" s="1">
        <v>730</v>
      </c>
      <c r="H527" s="1" t="s">
        <v>19</v>
      </c>
      <c r="I527" s="1" t="s">
        <v>3</v>
      </c>
      <c r="J527" s="1" t="s">
        <v>2</v>
      </c>
      <c r="K527" s="1" t="s">
        <v>1</v>
      </c>
      <c r="L527" s="1" t="s">
        <v>20</v>
      </c>
    </row>
    <row r="528" spans="1:12" x14ac:dyDescent="0.25">
      <c r="A528" s="5">
        <v>46184</v>
      </c>
      <c r="B528" s="4" t="s">
        <v>22</v>
      </c>
      <c r="C528" s="4">
        <v>4075.2</v>
      </c>
      <c r="D528" s="3">
        <v>13</v>
      </c>
      <c r="E528" s="3">
        <v>7</v>
      </c>
      <c r="F528" s="3">
        <v>182</v>
      </c>
      <c r="G528" s="1">
        <v>1515</v>
      </c>
      <c r="H528" s="1" t="s">
        <v>19</v>
      </c>
      <c r="I528" s="1" t="s">
        <v>13</v>
      </c>
      <c r="J528" s="1" t="s">
        <v>8</v>
      </c>
      <c r="K528" s="1" t="s">
        <v>21</v>
      </c>
      <c r="L528" s="1" t="s">
        <v>20</v>
      </c>
    </row>
    <row r="529" spans="1:12" x14ac:dyDescent="0.25">
      <c r="A529" s="5">
        <v>46185</v>
      </c>
      <c r="B529" s="4" t="s">
        <v>22</v>
      </c>
      <c r="C529" s="4">
        <v>2243.6999999999998</v>
      </c>
      <c r="D529" s="3">
        <v>26</v>
      </c>
      <c r="E529" s="3">
        <v>39</v>
      </c>
      <c r="F529" s="3">
        <v>34</v>
      </c>
      <c r="G529" s="1">
        <v>1320</v>
      </c>
      <c r="H529" s="1" t="s">
        <v>14</v>
      </c>
      <c r="I529" s="1" t="s">
        <v>3</v>
      </c>
      <c r="J529" s="1" t="s">
        <v>18</v>
      </c>
      <c r="K529" s="1" t="s">
        <v>7</v>
      </c>
      <c r="L529" s="1" t="s">
        <v>0</v>
      </c>
    </row>
    <row r="530" spans="1:12" x14ac:dyDescent="0.25">
      <c r="A530" s="5">
        <v>46186</v>
      </c>
      <c r="B530" s="4" t="s">
        <v>22</v>
      </c>
      <c r="C530" s="4">
        <v>3190.5</v>
      </c>
      <c r="D530" s="3">
        <v>26</v>
      </c>
      <c r="E530" s="3">
        <v>19</v>
      </c>
      <c r="F530" s="3">
        <v>434</v>
      </c>
      <c r="G530" s="1">
        <v>1464</v>
      </c>
      <c r="H530" s="1" t="s">
        <v>12</v>
      </c>
      <c r="I530" s="1" t="s">
        <v>3</v>
      </c>
      <c r="J530" s="1" t="s">
        <v>2</v>
      </c>
      <c r="K530" s="1" t="s">
        <v>15</v>
      </c>
      <c r="L530" s="1" t="s">
        <v>0</v>
      </c>
    </row>
    <row r="531" spans="1:12" x14ac:dyDescent="0.25">
      <c r="A531" s="5">
        <v>46187</v>
      </c>
      <c r="B531" s="4" t="s">
        <v>22</v>
      </c>
      <c r="C531" s="4">
        <v>1417.5</v>
      </c>
      <c r="D531" s="3">
        <v>17</v>
      </c>
      <c r="E531" s="3">
        <v>38</v>
      </c>
      <c r="F531" s="3">
        <v>34</v>
      </c>
      <c r="G531" s="1">
        <v>178</v>
      </c>
      <c r="H531" s="1" t="s">
        <v>14</v>
      </c>
      <c r="I531" s="1" t="s">
        <v>3</v>
      </c>
      <c r="J531" s="1" t="s">
        <v>18</v>
      </c>
      <c r="K531" s="1" t="s">
        <v>1</v>
      </c>
      <c r="L531" s="1" t="s">
        <v>16</v>
      </c>
    </row>
    <row r="532" spans="1:12" x14ac:dyDescent="0.25">
      <c r="A532" s="5">
        <v>46188</v>
      </c>
      <c r="B532" s="4" t="s">
        <v>22</v>
      </c>
      <c r="C532" s="4">
        <v>3451.5</v>
      </c>
      <c r="D532" s="3">
        <v>38</v>
      </c>
      <c r="E532" s="3">
        <v>46</v>
      </c>
      <c r="F532" s="3">
        <v>65</v>
      </c>
      <c r="G532" s="1">
        <v>1105</v>
      </c>
      <c r="H532" s="1" t="s">
        <v>12</v>
      </c>
      <c r="I532" s="1" t="s">
        <v>3</v>
      </c>
      <c r="J532" s="1" t="s">
        <v>2</v>
      </c>
      <c r="K532" s="1" t="s">
        <v>7</v>
      </c>
      <c r="L532" s="1" t="s">
        <v>0</v>
      </c>
    </row>
    <row r="533" spans="1:12" x14ac:dyDescent="0.25">
      <c r="A533" s="5">
        <v>46189</v>
      </c>
      <c r="B533" s="4" t="s">
        <v>22</v>
      </c>
      <c r="C533" s="4">
        <v>3949.2</v>
      </c>
      <c r="D533" s="3">
        <v>17</v>
      </c>
      <c r="E533" s="3">
        <v>16</v>
      </c>
      <c r="F533" s="3">
        <v>243</v>
      </c>
      <c r="G533" s="1">
        <v>1624</v>
      </c>
      <c r="H533" s="1" t="s">
        <v>4</v>
      </c>
      <c r="I533" s="1" t="s">
        <v>13</v>
      </c>
      <c r="J533" s="1" t="s">
        <v>11</v>
      </c>
      <c r="K533" s="1" t="s">
        <v>17</v>
      </c>
      <c r="L533" s="1" t="s">
        <v>16</v>
      </c>
    </row>
    <row r="534" spans="1:12" x14ac:dyDescent="0.25">
      <c r="A534" s="5">
        <v>46190</v>
      </c>
      <c r="B534" s="4" t="s">
        <v>22</v>
      </c>
      <c r="C534" s="4">
        <v>3115.8</v>
      </c>
      <c r="D534" s="3">
        <v>33</v>
      </c>
      <c r="E534" s="3">
        <v>55</v>
      </c>
      <c r="F534" s="3">
        <v>89</v>
      </c>
      <c r="G534" s="1">
        <v>1609</v>
      </c>
      <c r="H534" s="1" t="s">
        <v>12</v>
      </c>
      <c r="I534" s="1" t="s">
        <v>13</v>
      </c>
      <c r="J534" s="1" t="s">
        <v>8</v>
      </c>
      <c r="K534" s="1" t="s">
        <v>21</v>
      </c>
      <c r="L534" s="1" t="s">
        <v>20</v>
      </c>
    </row>
    <row r="535" spans="1:12" x14ac:dyDescent="0.25">
      <c r="A535" s="5">
        <v>46191</v>
      </c>
      <c r="B535" s="4" t="s">
        <v>22</v>
      </c>
      <c r="C535" s="4">
        <v>2084.4</v>
      </c>
      <c r="D535" s="3">
        <v>11</v>
      </c>
      <c r="E535" s="3">
        <v>4</v>
      </c>
      <c r="F535" s="3">
        <v>269</v>
      </c>
      <c r="G535" s="1">
        <v>2468</v>
      </c>
      <c r="H535" s="1" t="s">
        <v>12</v>
      </c>
      <c r="I535" s="1" t="s">
        <v>13</v>
      </c>
      <c r="J535" s="1" t="s">
        <v>2</v>
      </c>
      <c r="K535" s="1" t="s">
        <v>1</v>
      </c>
      <c r="L535" s="1" t="s">
        <v>0</v>
      </c>
    </row>
    <row r="536" spans="1:12" x14ac:dyDescent="0.25">
      <c r="A536" s="5">
        <v>46192</v>
      </c>
      <c r="B536" s="4" t="s">
        <v>22</v>
      </c>
      <c r="C536" s="4">
        <v>3618</v>
      </c>
      <c r="D536" s="3">
        <v>35</v>
      </c>
      <c r="E536" s="3">
        <v>46</v>
      </c>
      <c r="F536" s="3">
        <v>232</v>
      </c>
      <c r="G536" s="1">
        <v>2377</v>
      </c>
      <c r="H536" s="1" t="s">
        <v>19</v>
      </c>
      <c r="I536" s="1" t="s">
        <v>3</v>
      </c>
      <c r="J536" s="1" t="s">
        <v>8</v>
      </c>
      <c r="K536" s="1" t="s">
        <v>1</v>
      </c>
      <c r="L536" s="1" t="s">
        <v>0</v>
      </c>
    </row>
    <row r="537" spans="1:12" x14ac:dyDescent="0.25">
      <c r="A537" s="5">
        <v>46193</v>
      </c>
      <c r="B537" s="4" t="s">
        <v>22</v>
      </c>
      <c r="C537" s="4">
        <v>2705.4</v>
      </c>
      <c r="D537" s="3">
        <v>20</v>
      </c>
      <c r="E537" s="3">
        <v>20</v>
      </c>
      <c r="F537" s="3">
        <v>123</v>
      </c>
      <c r="G537" s="1">
        <v>574</v>
      </c>
      <c r="H537" s="1" t="s">
        <v>12</v>
      </c>
      <c r="I537" s="1" t="s">
        <v>3</v>
      </c>
      <c r="J537" s="1" t="s">
        <v>11</v>
      </c>
      <c r="K537" s="1" t="s">
        <v>10</v>
      </c>
      <c r="L537" s="1" t="s">
        <v>6</v>
      </c>
    </row>
    <row r="538" spans="1:12" x14ac:dyDescent="0.25">
      <c r="A538" s="5">
        <v>46194</v>
      </c>
      <c r="B538" s="4" t="s">
        <v>22</v>
      </c>
      <c r="C538" s="4">
        <v>1989</v>
      </c>
      <c r="D538" s="3">
        <v>31</v>
      </c>
      <c r="E538" s="3">
        <v>0</v>
      </c>
      <c r="F538" s="3">
        <v>155</v>
      </c>
      <c r="G538" s="1">
        <v>1046</v>
      </c>
      <c r="H538" s="1" t="s">
        <v>12</v>
      </c>
      <c r="I538" s="1" t="s">
        <v>13</v>
      </c>
      <c r="J538" s="1" t="s">
        <v>2</v>
      </c>
      <c r="K538" s="1" t="s">
        <v>15</v>
      </c>
      <c r="L538" s="1" t="s">
        <v>20</v>
      </c>
    </row>
    <row r="539" spans="1:12" x14ac:dyDescent="0.25">
      <c r="A539" s="5">
        <v>46195</v>
      </c>
      <c r="B539" s="4" t="s">
        <v>22</v>
      </c>
      <c r="C539" s="4">
        <v>1755.9</v>
      </c>
      <c r="D539" s="3">
        <v>11</v>
      </c>
      <c r="E539" s="3">
        <v>26</v>
      </c>
      <c r="F539" s="3">
        <v>88</v>
      </c>
      <c r="G539" s="1">
        <v>548</v>
      </c>
      <c r="H539" s="1" t="s">
        <v>14</v>
      </c>
      <c r="I539" s="1" t="s">
        <v>3</v>
      </c>
      <c r="J539" s="1" t="s">
        <v>18</v>
      </c>
      <c r="K539" s="1" t="s">
        <v>1</v>
      </c>
      <c r="L539" s="1" t="s">
        <v>16</v>
      </c>
    </row>
    <row r="540" spans="1:12" x14ac:dyDescent="0.25">
      <c r="A540" s="5">
        <v>46196</v>
      </c>
      <c r="B540" s="4" t="s">
        <v>22</v>
      </c>
      <c r="C540" s="4">
        <v>2619</v>
      </c>
      <c r="D540" s="3">
        <v>37</v>
      </c>
      <c r="E540" s="3">
        <v>58</v>
      </c>
      <c r="F540" s="3">
        <v>326</v>
      </c>
      <c r="G540" s="1">
        <v>68</v>
      </c>
      <c r="H540" s="1" t="s">
        <v>19</v>
      </c>
      <c r="I540" s="1" t="s">
        <v>3</v>
      </c>
      <c r="J540" s="1" t="s">
        <v>2</v>
      </c>
      <c r="K540" s="1" t="s">
        <v>7</v>
      </c>
      <c r="L540" s="1" t="s">
        <v>16</v>
      </c>
    </row>
    <row r="541" spans="1:12" x14ac:dyDescent="0.25">
      <c r="A541" s="5">
        <v>46197</v>
      </c>
      <c r="B541" s="4" t="s">
        <v>22</v>
      </c>
      <c r="C541" s="4">
        <v>1655.1</v>
      </c>
      <c r="D541" s="3">
        <v>32</v>
      </c>
      <c r="E541" s="3">
        <v>-5</v>
      </c>
      <c r="F541" s="3">
        <v>303</v>
      </c>
      <c r="G541" s="1">
        <v>590</v>
      </c>
      <c r="H541" s="1" t="s">
        <v>12</v>
      </c>
      <c r="I541" s="1" t="s">
        <v>3</v>
      </c>
      <c r="J541" s="1" t="s">
        <v>2</v>
      </c>
      <c r="K541" s="1" t="s">
        <v>15</v>
      </c>
      <c r="L541" s="1" t="s">
        <v>0</v>
      </c>
    </row>
    <row r="542" spans="1:12" x14ac:dyDescent="0.25">
      <c r="A542" s="5">
        <v>46198</v>
      </c>
      <c r="B542" s="4" t="s">
        <v>22</v>
      </c>
      <c r="C542" s="4">
        <v>877.5</v>
      </c>
      <c r="D542" s="3">
        <v>30</v>
      </c>
      <c r="E542" s="3">
        <v>34</v>
      </c>
      <c r="F542" s="3">
        <v>310</v>
      </c>
      <c r="G542" s="1">
        <v>2497</v>
      </c>
      <c r="H542" s="1" t="s">
        <v>14</v>
      </c>
      <c r="I542" s="1" t="s">
        <v>3</v>
      </c>
      <c r="J542" s="1" t="s">
        <v>2</v>
      </c>
      <c r="K542" s="1" t="s">
        <v>17</v>
      </c>
      <c r="L542" s="1" t="s">
        <v>16</v>
      </c>
    </row>
    <row r="543" spans="1:12" x14ac:dyDescent="0.25">
      <c r="A543" s="5">
        <v>46199</v>
      </c>
      <c r="B543" s="4" t="s">
        <v>22</v>
      </c>
      <c r="C543" s="4">
        <v>3184.2</v>
      </c>
      <c r="D543" s="3">
        <v>25</v>
      </c>
      <c r="E543" s="3">
        <v>7</v>
      </c>
      <c r="F543" s="3">
        <v>439</v>
      </c>
      <c r="G543" s="1">
        <v>300</v>
      </c>
      <c r="H543" s="1" t="s">
        <v>19</v>
      </c>
      <c r="I543" s="1" t="s">
        <v>3</v>
      </c>
      <c r="J543" s="1" t="s">
        <v>18</v>
      </c>
      <c r="K543" s="1" t="s">
        <v>1</v>
      </c>
      <c r="L543" s="1" t="s">
        <v>20</v>
      </c>
    </row>
    <row r="544" spans="1:12" x14ac:dyDescent="0.25">
      <c r="A544" s="5">
        <v>46200</v>
      </c>
      <c r="B544" s="4" t="s">
        <v>22</v>
      </c>
      <c r="C544" s="4">
        <v>1772.1</v>
      </c>
      <c r="D544" s="3">
        <v>41</v>
      </c>
      <c r="E544" s="3">
        <v>35</v>
      </c>
      <c r="F544" s="3">
        <v>172</v>
      </c>
      <c r="G544" s="1">
        <v>1044</v>
      </c>
      <c r="H544" s="1" t="s">
        <v>19</v>
      </c>
      <c r="I544" s="1" t="s">
        <v>13</v>
      </c>
      <c r="J544" s="1" t="s">
        <v>11</v>
      </c>
      <c r="K544" s="1" t="s">
        <v>10</v>
      </c>
      <c r="L544" s="1" t="s">
        <v>0</v>
      </c>
    </row>
    <row r="545" spans="1:12" x14ac:dyDescent="0.25">
      <c r="A545" s="5">
        <v>46201</v>
      </c>
      <c r="B545" s="4" t="s">
        <v>22</v>
      </c>
      <c r="C545" s="4">
        <v>3659.4</v>
      </c>
      <c r="D545" s="3">
        <v>17</v>
      </c>
      <c r="E545" s="3">
        <v>28</v>
      </c>
      <c r="F545" s="3">
        <v>274</v>
      </c>
      <c r="G545" s="1">
        <v>1725</v>
      </c>
      <c r="H545" s="1" t="s">
        <v>12</v>
      </c>
      <c r="I545" s="1" t="s">
        <v>3</v>
      </c>
      <c r="J545" s="1" t="s">
        <v>2</v>
      </c>
      <c r="K545" s="1" t="s">
        <v>15</v>
      </c>
      <c r="L545" s="1" t="s">
        <v>16</v>
      </c>
    </row>
    <row r="546" spans="1:12" x14ac:dyDescent="0.25">
      <c r="A546" s="5">
        <v>46202</v>
      </c>
      <c r="B546" s="4" t="s">
        <v>22</v>
      </c>
      <c r="C546" s="4">
        <v>3334.5</v>
      </c>
      <c r="D546" s="3">
        <v>9</v>
      </c>
      <c r="E546" s="3">
        <v>-1</v>
      </c>
      <c r="F546" s="3">
        <v>306</v>
      </c>
      <c r="G546" s="1">
        <v>1128</v>
      </c>
      <c r="H546" s="1" t="s">
        <v>4</v>
      </c>
      <c r="I546" s="1" t="s">
        <v>3</v>
      </c>
      <c r="J546" s="1" t="s">
        <v>2</v>
      </c>
      <c r="K546" s="1" t="s">
        <v>7</v>
      </c>
      <c r="L546" s="1" t="s">
        <v>9</v>
      </c>
    </row>
    <row r="547" spans="1:12" x14ac:dyDescent="0.25">
      <c r="A547" s="5">
        <v>46203</v>
      </c>
      <c r="B547" s="4" t="s">
        <v>22</v>
      </c>
      <c r="C547" s="4">
        <v>2818.8</v>
      </c>
      <c r="D547" s="3">
        <v>37</v>
      </c>
      <c r="E547" s="3">
        <v>25</v>
      </c>
      <c r="F547" s="3">
        <v>311</v>
      </c>
      <c r="G547" s="1">
        <v>1573</v>
      </c>
      <c r="H547" s="1" t="s">
        <v>4</v>
      </c>
      <c r="I547" s="1" t="s">
        <v>3</v>
      </c>
      <c r="J547" s="1" t="s">
        <v>2</v>
      </c>
      <c r="K547" s="1" t="s">
        <v>21</v>
      </c>
      <c r="L547" s="1" t="s">
        <v>0</v>
      </c>
    </row>
    <row r="548" spans="1:12" x14ac:dyDescent="0.25">
      <c r="A548" s="5">
        <v>46204</v>
      </c>
      <c r="B548" s="4" t="s">
        <v>5</v>
      </c>
      <c r="C548" s="4">
        <v>1499.4</v>
      </c>
      <c r="D548" s="3">
        <v>21</v>
      </c>
      <c r="E548" s="3">
        <v>22</v>
      </c>
      <c r="F548" s="3">
        <v>76</v>
      </c>
      <c r="G548" s="1">
        <v>1994</v>
      </c>
      <c r="H548" s="1" t="s">
        <v>12</v>
      </c>
      <c r="I548" s="1" t="s">
        <v>3</v>
      </c>
      <c r="J548" s="1" t="s">
        <v>8</v>
      </c>
      <c r="K548" s="1" t="s">
        <v>21</v>
      </c>
      <c r="L548" s="1" t="s">
        <v>16</v>
      </c>
    </row>
    <row r="549" spans="1:12" x14ac:dyDescent="0.25">
      <c r="A549" s="5">
        <v>46205</v>
      </c>
      <c r="B549" s="4" t="s">
        <v>5</v>
      </c>
      <c r="C549" s="4">
        <v>3470.4</v>
      </c>
      <c r="D549" s="3">
        <v>15</v>
      </c>
      <c r="E549" s="3">
        <v>43</v>
      </c>
      <c r="F549" s="3">
        <v>99</v>
      </c>
      <c r="G549" s="1">
        <v>2108</v>
      </c>
      <c r="H549" s="1" t="s">
        <v>12</v>
      </c>
      <c r="I549" s="1" t="s">
        <v>3</v>
      </c>
      <c r="J549" s="1" t="s">
        <v>2</v>
      </c>
      <c r="K549" s="1" t="s">
        <v>15</v>
      </c>
      <c r="L549" s="1" t="s">
        <v>0</v>
      </c>
    </row>
    <row r="550" spans="1:12" x14ac:dyDescent="0.25">
      <c r="A550" s="5">
        <v>46206</v>
      </c>
      <c r="B550" s="4" t="s">
        <v>5</v>
      </c>
      <c r="C550" s="4">
        <v>2826.9</v>
      </c>
      <c r="D550" s="3">
        <v>12</v>
      </c>
      <c r="E550" s="3">
        <v>40</v>
      </c>
      <c r="F550" s="3">
        <v>244</v>
      </c>
      <c r="G550" s="1">
        <v>1588</v>
      </c>
      <c r="H550" s="1" t="s">
        <v>4</v>
      </c>
      <c r="I550" s="1" t="s">
        <v>13</v>
      </c>
      <c r="J550" s="1" t="s">
        <v>8</v>
      </c>
      <c r="K550" s="1" t="s">
        <v>21</v>
      </c>
      <c r="L550" s="1" t="s">
        <v>20</v>
      </c>
    </row>
    <row r="551" spans="1:12" x14ac:dyDescent="0.25">
      <c r="A551" s="5">
        <v>46207</v>
      </c>
      <c r="B551" s="4" t="s">
        <v>5</v>
      </c>
      <c r="C551" s="4">
        <v>3031.2</v>
      </c>
      <c r="D551" s="3">
        <v>19</v>
      </c>
      <c r="E551" s="3">
        <v>28</v>
      </c>
      <c r="F551" s="3">
        <v>441</v>
      </c>
      <c r="G551" s="1">
        <v>1146</v>
      </c>
      <c r="H551" s="1" t="s">
        <v>19</v>
      </c>
      <c r="I551" s="1" t="s">
        <v>3</v>
      </c>
      <c r="J551" s="1" t="s">
        <v>18</v>
      </c>
      <c r="K551" s="1" t="s">
        <v>7</v>
      </c>
      <c r="L551" s="1" t="s">
        <v>9</v>
      </c>
    </row>
    <row r="552" spans="1:12" x14ac:dyDescent="0.25">
      <c r="A552" s="5">
        <v>46208</v>
      </c>
      <c r="B552" s="4" t="s">
        <v>5</v>
      </c>
      <c r="C552" s="4">
        <v>1468.8</v>
      </c>
      <c r="D552" s="3">
        <v>5</v>
      </c>
      <c r="E552" s="3">
        <v>29</v>
      </c>
      <c r="F552" s="3">
        <v>134</v>
      </c>
      <c r="G552" s="1">
        <v>1999</v>
      </c>
      <c r="H552" s="1" t="s">
        <v>4</v>
      </c>
      <c r="I552" s="1" t="s">
        <v>3</v>
      </c>
      <c r="J552" s="1" t="s">
        <v>18</v>
      </c>
      <c r="K552" s="1" t="s">
        <v>1</v>
      </c>
      <c r="L552" s="1" t="s">
        <v>6</v>
      </c>
    </row>
    <row r="553" spans="1:12" x14ac:dyDescent="0.25">
      <c r="A553" s="5">
        <v>46209</v>
      </c>
      <c r="B553" s="4" t="s">
        <v>5</v>
      </c>
      <c r="C553" s="4">
        <v>861.3</v>
      </c>
      <c r="D553" s="3">
        <v>34</v>
      </c>
      <c r="E553" s="3">
        <v>55</v>
      </c>
      <c r="F553" s="3">
        <v>278</v>
      </c>
      <c r="G553" s="1">
        <v>824</v>
      </c>
      <c r="H553" s="1" t="s">
        <v>4</v>
      </c>
      <c r="I553" s="1" t="s">
        <v>13</v>
      </c>
      <c r="J553" s="1" t="s">
        <v>2</v>
      </c>
      <c r="K553" s="1" t="s">
        <v>10</v>
      </c>
      <c r="L553" s="1" t="s">
        <v>0</v>
      </c>
    </row>
    <row r="554" spans="1:12" x14ac:dyDescent="0.25">
      <c r="A554" s="5">
        <v>46210</v>
      </c>
      <c r="B554" s="4" t="s">
        <v>5</v>
      </c>
      <c r="C554" s="4">
        <v>933.3</v>
      </c>
      <c r="D554" s="3">
        <v>9</v>
      </c>
      <c r="E554" s="3">
        <v>10</v>
      </c>
      <c r="F554" s="3">
        <v>438</v>
      </c>
      <c r="G554" s="1">
        <v>985</v>
      </c>
      <c r="H554" s="1" t="s">
        <v>4</v>
      </c>
      <c r="I554" s="1" t="s">
        <v>13</v>
      </c>
      <c r="J554" s="1" t="s">
        <v>2</v>
      </c>
      <c r="K554" s="1" t="s">
        <v>21</v>
      </c>
      <c r="L554" s="1" t="s">
        <v>20</v>
      </c>
    </row>
    <row r="555" spans="1:12" x14ac:dyDescent="0.25">
      <c r="A555" s="5">
        <v>46211</v>
      </c>
      <c r="B555" s="4" t="s">
        <v>5</v>
      </c>
      <c r="C555" s="4">
        <v>1243.8</v>
      </c>
      <c r="D555" s="3">
        <v>38</v>
      </c>
      <c r="E555" s="3">
        <v>29</v>
      </c>
      <c r="F555" s="3">
        <v>191</v>
      </c>
      <c r="G555" s="1">
        <v>1802</v>
      </c>
      <c r="H555" s="1" t="s">
        <v>14</v>
      </c>
      <c r="I555" s="1" t="s">
        <v>3</v>
      </c>
      <c r="J555" s="1" t="s">
        <v>2</v>
      </c>
      <c r="K555" s="1" t="s">
        <v>15</v>
      </c>
      <c r="L555" s="1" t="s">
        <v>9</v>
      </c>
    </row>
    <row r="556" spans="1:12" x14ac:dyDescent="0.25">
      <c r="A556" s="5">
        <v>46212</v>
      </c>
      <c r="B556" s="4" t="s">
        <v>5</v>
      </c>
      <c r="C556" s="4">
        <v>1566.9</v>
      </c>
      <c r="D556" s="3">
        <v>41</v>
      </c>
      <c r="E556" s="3">
        <v>41</v>
      </c>
      <c r="F556" s="3">
        <v>348</v>
      </c>
      <c r="G556" s="1">
        <v>459</v>
      </c>
      <c r="H556" s="1" t="s">
        <v>12</v>
      </c>
      <c r="I556" s="1" t="s">
        <v>3</v>
      </c>
      <c r="J556" s="1" t="s">
        <v>2</v>
      </c>
      <c r="K556" s="1" t="s">
        <v>15</v>
      </c>
      <c r="L556" s="1" t="s">
        <v>6</v>
      </c>
    </row>
    <row r="557" spans="1:12" x14ac:dyDescent="0.25">
      <c r="A557" s="5">
        <v>46213</v>
      </c>
      <c r="B557" s="4" t="s">
        <v>5</v>
      </c>
      <c r="C557" s="4">
        <v>2636.1</v>
      </c>
      <c r="D557" s="3">
        <v>33</v>
      </c>
      <c r="E557" s="3">
        <v>21</v>
      </c>
      <c r="F557" s="3">
        <v>407</v>
      </c>
      <c r="G557" s="1">
        <v>1193</v>
      </c>
      <c r="H557" s="1" t="s">
        <v>12</v>
      </c>
      <c r="I557" s="1" t="s">
        <v>13</v>
      </c>
      <c r="J557" s="1" t="s">
        <v>2</v>
      </c>
      <c r="K557" s="1" t="s">
        <v>10</v>
      </c>
      <c r="L557" s="1" t="s">
        <v>20</v>
      </c>
    </row>
    <row r="558" spans="1:12" x14ac:dyDescent="0.25">
      <c r="A558" s="5">
        <v>46214</v>
      </c>
      <c r="B558" s="4" t="s">
        <v>5</v>
      </c>
      <c r="C558" s="4">
        <v>1299.5999999999999</v>
      </c>
      <c r="D558" s="3">
        <v>6</v>
      </c>
      <c r="E558" s="3">
        <v>15</v>
      </c>
      <c r="F558" s="3">
        <v>122</v>
      </c>
      <c r="G558" s="1">
        <v>525</v>
      </c>
      <c r="H558" s="1" t="s">
        <v>19</v>
      </c>
      <c r="I558" s="1" t="s">
        <v>13</v>
      </c>
      <c r="J558" s="1" t="s">
        <v>8</v>
      </c>
      <c r="K558" s="1" t="s">
        <v>1</v>
      </c>
      <c r="L558" s="1" t="s">
        <v>6</v>
      </c>
    </row>
    <row r="559" spans="1:12" x14ac:dyDescent="0.25">
      <c r="A559" s="5">
        <v>46215</v>
      </c>
      <c r="B559" s="4" t="s">
        <v>5</v>
      </c>
      <c r="C559" s="4">
        <v>1747.8</v>
      </c>
      <c r="D559" s="3">
        <v>17</v>
      </c>
      <c r="E559" s="3">
        <v>29</v>
      </c>
      <c r="F559" s="3">
        <v>440</v>
      </c>
      <c r="G559" s="1">
        <v>563</v>
      </c>
      <c r="H559" s="1" t="s">
        <v>14</v>
      </c>
      <c r="I559" s="1" t="s">
        <v>13</v>
      </c>
      <c r="J559" s="1" t="s">
        <v>2</v>
      </c>
      <c r="K559" s="1" t="s">
        <v>10</v>
      </c>
      <c r="L559" s="1" t="s">
        <v>0</v>
      </c>
    </row>
    <row r="560" spans="1:12" x14ac:dyDescent="0.25">
      <c r="A560" s="5">
        <v>46216</v>
      </c>
      <c r="B560" s="4" t="s">
        <v>5</v>
      </c>
      <c r="C560" s="4">
        <v>3951.9</v>
      </c>
      <c r="D560" s="3">
        <v>35</v>
      </c>
      <c r="E560" s="3">
        <v>13</v>
      </c>
      <c r="F560" s="3">
        <v>376</v>
      </c>
      <c r="G560" s="1">
        <v>1273</v>
      </c>
      <c r="H560" s="1" t="s">
        <v>19</v>
      </c>
      <c r="I560" s="1" t="s">
        <v>3</v>
      </c>
      <c r="J560" s="1" t="s">
        <v>2</v>
      </c>
      <c r="K560" s="1" t="s">
        <v>21</v>
      </c>
      <c r="L560" s="1" t="s">
        <v>16</v>
      </c>
    </row>
    <row r="561" spans="1:12" x14ac:dyDescent="0.25">
      <c r="A561" s="5">
        <v>46217</v>
      </c>
      <c r="B561" s="4" t="s">
        <v>5</v>
      </c>
      <c r="C561" s="4">
        <v>3942</v>
      </c>
      <c r="D561" s="3">
        <v>26</v>
      </c>
      <c r="E561" s="3">
        <v>10</v>
      </c>
      <c r="F561" s="3">
        <v>98</v>
      </c>
      <c r="G561" s="1">
        <v>834</v>
      </c>
      <c r="H561" s="1" t="s">
        <v>12</v>
      </c>
      <c r="I561" s="1" t="s">
        <v>13</v>
      </c>
      <c r="J561" s="1" t="s">
        <v>18</v>
      </c>
      <c r="K561" s="1" t="s">
        <v>21</v>
      </c>
      <c r="L561" s="1" t="s">
        <v>0</v>
      </c>
    </row>
    <row r="562" spans="1:12" x14ac:dyDescent="0.25">
      <c r="A562" s="5">
        <v>46218</v>
      </c>
      <c r="B562" s="4" t="s">
        <v>5</v>
      </c>
      <c r="C562" s="4">
        <v>4659.3</v>
      </c>
      <c r="D562" s="3">
        <v>33</v>
      </c>
      <c r="E562" s="3">
        <v>51</v>
      </c>
      <c r="F562" s="3">
        <v>387</v>
      </c>
      <c r="G562" s="1">
        <v>941</v>
      </c>
      <c r="H562" s="1" t="s">
        <v>4</v>
      </c>
      <c r="I562" s="1" t="s">
        <v>3</v>
      </c>
      <c r="J562" s="1" t="s">
        <v>2</v>
      </c>
      <c r="K562" s="1" t="s">
        <v>17</v>
      </c>
      <c r="L562" s="1" t="s">
        <v>6</v>
      </c>
    </row>
    <row r="563" spans="1:12" x14ac:dyDescent="0.25">
      <c r="A563" s="5">
        <v>46219</v>
      </c>
      <c r="B563" s="4" t="s">
        <v>5</v>
      </c>
      <c r="C563" s="4">
        <v>3634.2</v>
      </c>
      <c r="D563" s="3">
        <v>21</v>
      </c>
      <c r="E563" s="3">
        <v>51</v>
      </c>
      <c r="F563" s="3">
        <v>345</v>
      </c>
      <c r="G563" s="1">
        <v>631</v>
      </c>
      <c r="H563" s="1" t="s">
        <v>4</v>
      </c>
      <c r="I563" s="1" t="s">
        <v>13</v>
      </c>
      <c r="J563" s="1" t="s">
        <v>2</v>
      </c>
      <c r="K563" s="1" t="s">
        <v>7</v>
      </c>
      <c r="L563" s="1" t="s">
        <v>16</v>
      </c>
    </row>
    <row r="564" spans="1:12" x14ac:dyDescent="0.25">
      <c r="A564" s="5">
        <v>46220</v>
      </c>
      <c r="B564" s="4" t="s">
        <v>5</v>
      </c>
      <c r="C564" s="4">
        <v>1497.6</v>
      </c>
      <c r="D564" s="3">
        <v>16</v>
      </c>
      <c r="E564" s="3">
        <v>53</v>
      </c>
      <c r="F564" s="3">
        <v>348</v>
      </c>
      <c r="G564" s="1">
        <v>348</v>
      </c>
      <c r="H564" s="1" t="s">
        <v>4</v>
      </c>
      <c r="I564" s="1" t="s">
        <v>13</v>
      </c>
      <c r="J564" s="1" t="s">
        <v>8</v>
      </c>
      <c r="K564" s="1" t="s">
        <v>7</v>
      </c>
      <c r="L564" s="1" t="s">
        <v>9</v>
      </c>
    </row>
    <row r="565" spans="1:12" x14ac:dyDescent="0.25">
      <c r="A565" s="5">
        <v>46221</v>
      </c>
      <c r="B565" s="4" t="s">
        <v>5</v>
      </c>
      <c r="C565" s="4">
        <v>3838.5</v>
      </c>
      <c r="D565" s="3">
        <v>14</v>
      </c>
      <c r="E565" s="3">
        <v>45</v>
      </c>
      <c r="F565" s="3">
        <v>198</v>
      </c>
      <c r="G565" s="1">
        <v>1953</v>
      </c>
      <c r="H565" s="1" t="s">
        <v>4</v>
      </c>
      <c r="I565" s="1" t="s">
        <v>3</v>
      </c>
      <c r="J565" s="1" t="s">
        <v>8</v>
      </c>
      <c r="K565" s="1" t="s">
        <v>17</v>
      </c>
      <c r="L565" s="1" t="s">
        <v>6</v>
      </c>
    </row>
    <row r="566" spans="1:12" x14ac:dyDescent="0.25">
      <c r="A566" s="5">
        <v>46222</v>
      </c>
      <c r="B566" s="4" t="s">
        <v>5</v>
      </c>
      <c r="C566" s="4">
        <v>1130.4000000000001</v>
      </c>
      <c r="D566" s="3">
        <v>36</v>
      </c>
      <c r="E566" s="3">
        <v>14</v>
      </c>
      <c r="F566" s="3">
        <v>369</v>
      </c>
      <c r="G566" s="1">
        <v>2197</v>
      </c>
      <c r="H566" s="1" t="s">
        <v>4</v>
      </c>
      <c r="I566" s="1" t="s">
        <v>3</v>
      </c>
      <c r="J566" s="1" t="s">
        <v>18</v>
      </c>
      <c r="K566" s="1" t="s">
        <v>15</v>
      </c>
      <c r="L566" s="1" t="s">
        <v>6</v>
      </c>
    </row>
    <row r="567" spans="1:12" x14ac:dyDescent="0.25">
      <c r="A567" s="5">
        <v>46223</v>
      </c>
      <c r="B567" s="4" t="s">
        <v>5</v>
      </c>
      <c r="C567" s="4">
        <v>1279.8</v>
      </c>
      <c r="D567" s="3">
        <v>14</v>
      </c>
      <c r="E567" s="3">
        <v>56</v>
      </c>
      <c r="F567" s="3">
        <v>158</v>
      </c>
      <c r="G567" s="1">
        <v>521</v>
      </c>
      <c r="H567" s="1" t="s">
        <v>19</v>
      </c>
      <c r="I567" s="1" t="s">
        <v>3</v>
      </c>
      <c r="J567" s="1" t="s">
        <v>11</v>
      </c>
      <c r="K567" s="1" t="s">
        <v>1</v>
      </c>
      <c r="L567" s="1" t="s">
        <v>20</v>
      </c>
    </row>
    <row r="568" spans="1:12" x14ac:dyDescent="0.25">
      <c r="A568" s="5">
        <v>46224</v>
      </c>
      <c r="B568" s="4" t="s">
        <v>5</v>
      </c>
      <c r="C568" s="4">
        <v>4606.2</v>
      </c>
      <c r="D568" s="3">
        <v>29</v>
      </c>
      <c r="E568" s="3">
        <v>28</v>
      </c>
      <c r="F568" s="3">
        <v>207</v>
      </c>
      <c r="G568" s="1">
        <v>816</v>
      </c>
      <c r="H568" s="1" t="s">
        <v>14</v>
      </c>
      <c r="I568" s="1" t="s">
        <v>3</v>
      </c>
      <c r="J568" s="1" t="s">
        <v>2</v>
      </c>
      <c r="K568" s="1" t="s">
        <v>7</v>
      </c>
      <c r="L568" s="1" t="s">
        <v>9</v>
      </c>
    </row>
    <row r="569" spans="1:12" x14ac:dyDescent="0.25">
      <c r="A569" s="5">
        <v>46225</v>
      </c>
      <c r="B569" s="4" t="s">
        <v>5</v>
      </c>
      <c r="C569" s="4">
        <v>2165.4</v>
      </c>
      <c r="D569" s="3">
        <v>43</v>
      </c>
      <c r="E569" s="3">
        <v>0</v>
      </c>
      <c r="F569" s="3">
        <v>314</v>
      </c>
      <c r="G569" s="1">
        <v>2089</v>
      </c>
      <c r="H569" s="1" t="s">
        <v>4</v>
      </c>
      <c r="I569" s="1" t="s">
        <v>3</v>
      </c>
      <c r="J569" s="1" t="s">
        <v>11</v>
      </c>
      <c r="K569" s="1" t="s">
        <v>7</v>
      </c>
      <c r="L569" s="1" t="s">
        <v>20</v>
      </c>
    </row>
    <row r="570" spans="1:12" x14ac:dyDescent="0.25">
      <c r="A570" s="5">
        <v>46226</v>
      </c>
      <c r="B570" s="4" t="s">
        <v>5</v>
      </c>
      <c r="C570" s="4">
        <v>2429.1</v>
      </c>
      <c r="D570" s="3">
        <v>25</v>
      </c>
      <c r="E570" s="3">
        <v>32</v>
      </c>
      <c r="F570" s="3">
        <v>93</v>
      </c>
      <c r="G570" s="1">
        <v>1801</v>
      </c>
      <c r="H570" s="1" t="s">
        <v>12</v>
      </c>
      <c r="I570" s="1" t="s">
        <v>13</v>
      </c>
      <c r="J570" s="1" t="s">
        <v>2</v>
      </c>
      <c r="K570" s="1" t="s">
        <v>17</v>
      </c>
      <c r="L570" s="1" t="s">
        <v>6</v>
      </c>
    </row>
    <row r="571" spans="1:12" x14ac:dyDescent="0.25">
      <c r="A571" s="5">
        <v>46227</v>
      </c>
      <c r="B571" s="4" t="s">
        <v>5</v>
      </c>
      <c r="C571" s="4">
        <v>3798.9</v>
      </c>
      <c r="D571" s="3">
        <v>11</v>
      </c>
      <c r="E571" s="3">
        <v>52</v>
      </c>
      <c r="F571" s="3">
        <v>55</v>
      </c>
      <c r="G571" s="1">
        <v>361</v>
      </c>
      <c r="H571" s="1" t="s">
        <v>19</v>
      </c>
      <c r="I571" s="1" t="s">
        <v>3</v>
      </c>
      <c r="J571" s="1" t="s">
        <v>8</v>
      </c>
      <c r="K571" s="1" t="s">
        <v>10</v>
      </c>
      <c r="L571" s="1" t="s">
        <v>16</v>
      </c>
    </row>
    <row r="572" spans="1:12" x14ac:dyDescent="0.25">
      <c r="A572" s="5">
        <v>46228</v>
      </c>
      <c r="B572" s="4" t="s">
        <v>5</v>
      </c>
      <c r="C572" s="4">
        <v>3600</v>
      </c>
      <c r="D572" s="3">
        <v>30</v>
      </c>
      <c r="E572" s="3">
        <v>10</v>
      </c>
      <c r="F572" s="3">
        <v>303</v>
      </c>
      <c r="G572" s="1">
        <v>2484</v>
      </c>
      <c r="H572" s="1" t="s">
        <v>12</v>
      </c>
      <c r="I572" s="1" t="s">
        <v>3</v>
      </c>
      <c r="J572" s="1" t="s">
        <v>8</v>
      </c>
      <c r="K572" s="1" t="s">
        <v>17</v>
      </c>
      <c r="L572" s="1" t="s">
        <v>16</v>
      </c>
    </row>
    <row r="573" spans="1:12" x14ac:dyDescent="0.25">
      <c r="A573" s="5">
        <v>46229</v>
      </c>
      <c r="B573" s="4" t="s">
        <v>5</v>
      </c>
      <c r="C573" s="4">
        <v>4072.5</v>
      </c>
      <c r="D573" s="3">
        <v>25</v>
      </c>
      <c r="E573" s="3">
        <v>36</v>
      </c>
      <c r="F573" s="3">
        <v>314</v>
      </c>
      <c r="G573" s="1">
        <v>2116</v>
      </c>
      <c r="H573" s="1" t="s">
        <v>19</v>
      </c>
      <c r="I573" s="1" t="s">
        <v>3</v>
      </c>
      <c r="J573" s="1" t="s">
        <v>18</v>
      </c>
      <c r="K573" s="1" t="s">
        <v>17</v>
      </c>
      <c r="L573" s="1" t="s">
        <v>16</v>
      </c>
    </row>
    <row r="574" spans="1:12" x14ac:dyDescent="0.25">
      <c r="A574" s="5">
        <v>46230</v>
      </c>
      <c r="B574" s="4" t="s">
        <v>5</v>
      </c>
      <c r="C574" s="4">
        <v>1055.7</v>
      </c>
      <c r="D574" s="3">
        <v>24</v>
      </c>
      <c r="E574" s="3">
        <v>0</v>
      </c>
      <c r="F574" s="3">
        <v>153</v>
      </c>
      <c r="G574" s="1">
        <v>917</v>
      </c>
      <c r="H574" s="1" t="s">
        <v>4</v>
      </c>
      <c r="I574" s="1" t="s">
        <v>3</v>
      </c>
      <c r="J574" s="1" t="s">
        <v>8</v>
      </c>
      <c r="K574" s="1" t="s">
        <v>15</v>
      </c>
      <c r="L574" s="1" t="s">
        <v>9</v>
      </c>
    </row>
    <row r="575" spans="1:12" x14ac:dyDescent="0.25">
      <c r="A575" s="5">
        <v>46231</v>
      </c>
      <c r="B575" s="4" t="s">
        <v>5</v>
      </c>
      <c r="C575" s="4">
        <v>2597.4</v>
      </c>
      <c r="D575" s="3">
        <v>37</v>
      </c>
      <c r="E575" s="3">
        <v>4</v>
      </c>
      <c r="F575" s="3">
        <v>114</v>
      </c>
      <c r="G575" s="1">
        <v>563</v>
      </c>
      <c r="H575" s="1" t="s">
        <v>14</v>
      </c>
      <c r="I575" s="1" t="s">
        <v>13</v>
      </c>
      <c r="J575" s="1" t="s">
        <v>8</v>
      </c>
      <c r="K575" s="1" t="s">
        <v>10</v>
      </c>
      <c r="L575" s="1" t="s">
        <v>9</v>
      </c>
    </row>
    <row r="576" spans="1:12" x14ac:dyDescent="0.25">
      <c r="A576" s="5">
        <v>46232</v>
      </c>
      <c r="B576" s="4" t="s">
        <v>5</v>
      </c>
      <c r="C576" s="4">
        <v>3663</v>
      </c>
      <c r="D576" s="3">
        <v>33</v>
      </c>
      <c r="E576" s="3">
        <v>6</v>
      </c>
      <c r="F576" s="3">
        <v>371</v>
      </c>
      <c r="G576" s="1">
        <v>486</v>
      </c>
      <c r="H576" s="1" t="s">
        <v>12</v>
      </c>
      <c r="I576" s="1" t="s">
        <v>3</v>
      </c>
      <c r="J576" s="1" t="s">
        <v>11</v>
      </c>
      <c r="K576" s="1" t="s">
        <v>10</v>
      </c>
      <c r="L576" s="1" t="s">
        <v>9</v>
      </c>
    </row>
    <row r="577" spans="1:12" x14ac:dyDescent="0.25">
      <c r="A577" s="5">
        <v>46233</v>
      </c>
      <c r="B577" s="4" t="s">
        <v>5</v>
      </c>
      <c r="C577" s="4">
        <v>3595.5</v>
      </c>
      <c r="D577" s="3">
        <v>39</v>
      </c>
      <c r="E577" s="3">
        <v>21</v>
      </c>
      <c r="F577" s="3">
        <v>275</v>
      </c>
      <c r="G577" s="1">
        <v>1232</v>
      </c>
      <c r="H577" s="1" t="s">
        <v>4</v>
      </c>
      <c r="I577" s="1" t="s">
        <v>3</v>
      </c>
      <c r="J577" s="1" t="s">
        <v>8</v>
      </c>
      <c r="K577" s="1" t="s">
        <v>7</v>
      </c>
      <c r="L577" s="1" t="s">
        <v>6</v>
      </c>
    </row>
    <row r="578" spans="1:12" x14ac:dyDescent="0.25">
      <c r="A578" s="5">
        <v>46234</v>
      </c>
      <c r="B578" s="4" t="s">
        <v>5</v>
      </c>
      <c r="C578" s="4">
        <v>1822.5</v>
      </c>
      <c r="D578" s="3">
        <v>20</v>
      </c>
      <c r="E578" s="3">
        <v>27</v>
      </c>
      <c r="F578" s="3">
        <v>74</v>
      </c>
      <c r="G578" s="1">
        <v>1361</v>
      </c>
      <c r="H578" s="1" t="s">
        <v>4</v>
      </c>
      <c r="I578" s="1" t="s">
        <v>3</v>
      </c>
      <c r="J578" s="1" t="s">
        <v>2</v>
      </c>
      <c r="K578" s="1" t="s">
        <v>1</v>
      </c>
      <c r="L578" s="1" t="s">
        <v>0</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CB9E4-C8AD-4CB8-8038-752C9F9B5AD7}">
  <dimension ref="E3:J20"/>
  <sheetViews>
    <sheetView showGridLines="0" workbookViewId="0"/>
  </sheetViews>
  <sheetFormatPr defaultRowHeight="15" x14ac:dyDescent="0.25"/>
  <cols>
    <col min="5" max="5" width="20.7109375" customWidth="1"/>
    <col min="6" max="6" width="16.7109375" customWidth="1"/>
    <col min="7" max="7" width="12.5703125" customWidth="1"/>
    <col min="8" max="8" width="23" customWidth="1"/>
    <col min="9" max="9" width="18.42578125" customWidth="1"/>
    <col min="10" max="10" width="18.5703125" customWidth="1"/>
  </cols>
  <sheetData>
    <row r="3" spans="5:10" x14ac:dyDescent="0.25">
      <c r="H3" s="26"/>
    </row>
    <row r="5" spans="5:10" x14ac:dyDescent="0.25">
      <c r="E5" s="27" t="s">
        <v>409</v>
      </c>
      <c r="F5" s="27" t="s">
        <v>446</v>
      </c>
      <c r="G5" s="27" t="s">
        <v>418</v>
      </c>
      <c r="H5" s="27" t="s">
        <v>447</v>
      </c>
      <c r="I5" s="27" t="s">
        <v>448</v>
      </c>
      <c r="J5" s="27" t="s">
        <v>415</v>
      </c>
    </row>
    <row r="6" spans="5:10" x14ac:dyDescent="0.25">
      <c r="E6" s="28" t="str" cm="1">
        <f t="array" ref="E6:E20">_xlfn.UNIQUE('V1'!L2:L578)</f>
        <v>United States</v>
      </c>
      <c r="F6" s="28">
        <f>SUMIF('V1'!L2:L578,'V2'!E6,'V1'!G2:G578)</f>
        <v>165615.26999999996</v>
      </c>
      <c r="G6" s="28">
        <f>SUMIF('V1'!L2:L578,'V2'!E6,'V1'!C2:C578)</f>
        <v>357689.19999999995</v>
      </c>
      <c r="H6" s="28">
        <f>SUMIF('V1'!L2:L578,'V2'!E6,'V1'!D2:D578)</f>
        <v>3420</v>
      </c>
      <c r="I6" s="28">
        <f>SUMIF('V1'!L2:L578,'V2'!E6,'V1'!E2:E578)</f>
        <v>2974</v>
      </c>
      <c r="J6" s="28">
        <f>SUMIF('V1'!L2:L578,'V2'!E6,'V1'!F2:F578)</f>
        <v>33284</v>
      </c>
    </row>
    <row r="7" spans="5:10" x14ac:dyDescent="0.25">
      <c r="E7" s="28" t="str">
        <v>India</v>
      </c>
      <c r="F7" s="28">
        <f>SUMIF('V1'!L3:L579,'V2'!E7,'V1'!G3:G579)</f>
        <v>106779.27</v>
      </c>
      <c r="G7" s="28">
        <f>SUMIF('V1'!L3:L579,'V2'!E7,'V1'!C3:C579)</f>
        <v>247616</v>
      </c>
      <c r="H7" s="28">
        <f>SUMIF('V1'!L3:L579,'V2'!E7,'V1'!D3:D579)</f>
        <v>1995</v>
      </c>
      <c r="I7" s="28">
        <f>SUMIF('V1'!L3:L579,'V2'!E7,'V1'!E3:E579)</f>
        <v>1905</v>
      </c>
      <c r="J7" s="28">
        <f>SUMIF('V1'!L3:L579,'V2'!E7,'V1'!F3:F579)</f>
        <v>19499</v>
      </c>
    </row>
    <row r="8" spans="5:10" x14ac:dyDescent="0.25">
      <c r="E8" s="28" t="str">
        <v>Canada</v>
      </c>
      <c r="F8" s="28">
        <f>SUMIF('V1'!L4:L580,'V2'!E8,'V1'!G4:G580)</f>
        <v>62127.829999999994</v>
      </c>
      <c r="G8" s="28">
        <f>SUMIF('V1'!L4:L580,'V2'!E8,'V1'!C4:C580)</f>
        <v>116032</v>
      </c>
      <c r="H8" s="28">
        <f>SUMIF('V1'!L4:L580,'V2'!E8,'V1'!D4:D580)</f>
        <v>1011</v>
      </c>
      <c r="I8" s="28">
        <f>SUMIF('V1'!L4:L580,'V2'!E8,'V1'!E4:E580)</f>
        <v>1185</v>
      </c>
      <c r="J8" s="28">
        <f>SUMIF('V1'!L4:L580,'V2'!E8,'V1'!F4:F580)</f>
        <v>10139</v>
      </c>
    </row>
    <row r="9" spans="5:10" x14ac:dyDescent="0.25">
      <c r="E9" s="28" t="str">
        <v>United Kingdom</v>
      </c>
      <c r="F9" s="28">
        <f>SUMIF('V1'!L5:L581,'V2'!E9,'V1'!G5:G581)</f>
        <v>48082.81</v>
      </c>
      <c r="G9" s="28">
        <f>SUMIF('V1'!L5:L581,'V2'!E9,'V1'!C5:C581)</f>
        <v>104711</v>
      </c>
      <c r="H9" s="28">
        <f>SUMIF('V1'!L5:L581,'V2'!E9,'V1'!D5:D581)</f>
        <v>962</v>
      </c>
      <c r="I9" s="28">
        <f>SUMIF('V1'!L5:L581,'V2'!E9,'V1'!E5:E581)</f>
        <v>724</v>
      </c>
      <c r="J9" s="28">
        <f>SUMIF('V1'!L5:L581,'V2'!E9,'V1'!F5:F581)</f>
        <v>8786</v>
      </c>
    </row>
    <row r="10" spans="5:10" x14ac:dyDescent="0.25">
      <c r="E10" s="28" t="str">
        <v>Australia</v>
      </c>
      <c r="F10" s="28">
        <f>SUMIF('V1'!L6:L582,'V2'!E10,'V1'!G6:G582)</f>
        <v>41971.209999999985</v>
      </c>
      <c r="G10" s="28">
        <f>SUMIF('V1'!L6:L582,'V2'!E10,'V1'!C6:C582)</f>
        <v>99114</v>
      </c>
      <c r="H10" s="28">
        <f>SUMIF('V1'!L6:L582,'V2'!E10,'V1'!D6:D582)</f>
        <v>914</v>
      </c>
      <c r="I10" s="28">
        <f>SUMIF('V1'!L6:L582,'V2'!E10,'V1'!E6:E582)</f>
        <v>977</v>
      </c>
      <c r="J10" s="28">
        <f>SUMIF('V1'!L6:L582,'V2'!E10,'V1'!F6:F582)</f>
        <v>7381</v>
      </c>
    </row>
    <row r="11" spans="5:10" x14ac:dyDescent="0.25">
      <c r="E11" s="28" t="str">
        <v>Japan</v>
      </c>
      <c r="F11" s="28">
        <f>SUMIF('V1'!L7:L583,'V2'!E11,'V1'!G7:G583)</f>
        <v>36951.390000000007</v>
      </c>
      <c r="G11" s="28">
        <f>SUMIF('V1'!L7:L583,'V2'!E11,'V1'!C7:C583)</f>
        <v>92816</v>
      </c>
      <c r="H11" s="28">
        <f>SUMIF('V1'!L7:L583,'V2'!E11,'V1'!D7:D583)</f>
        <v>746</v>
      </c>
      <c r="I11" s="28">
        <f>SUMIF('V1'!L7:L583,'V2'!E11,'V1'!E7:E583)</f>
        <v>710</v>
      </c>
      <c r="J11" s="28">
        <f>SUMIF('V1'!L7:L583,'V2'!E11,'V1'!F7:F583)</f>
        <v>8050</v>
      </c>
    </row>
    <row r="12" spans="5:10" x14ac:dyDescent="0.25">
      <c r="E12" s="28" t="str">
        <v>Germany</v>
      </c>
      <c r="F12" s="28">
        <f>SUMIF('V1'!L8:L584,'V2'!E12,'V1'!G8:G584)</f>
        <v>51470.58</v>
      </c>
      <c r="G12" s="28">
        <f>SUMIF('V1'!L8:L584,'V2'!E12,'V1'!C8:C584)</f>
        <v>112767.2</v>
      </c>
      <c r="H12" s="28">
        <f>SUMIF('V1'!L8:L584,'V2'!E12,'V1'!D8:D584)</f>
        <v>936</v>
      </c>
      <c r="I12" s="28">
        <f>SUMIF('V1'!L8:L584,'V2'!E12,'V1'!E8:E584)</f>
        <v>1165</v>
      </c>
      <c r="J12" s="28">
        <f>SUMIF('V1'!L8:L584,'V2'!E12,'V1'!F8:F584)</f>
        <v>10061</v>
      </c>
    </row>
    <row r="13" spans="5:10" x14ac:dyDescent="0.25">
      <c r="E13" s="28" t="str">
        <v>Brazil</v>
      </c>
      <c r="F13" s="28">
        <f>SUMIF('V1'!L9:L585,'V2'!E13,'V1'!G9:G585)</f>
        <v>29267</v>
      </c>
      <c r="G13" s="28">
        <f>SUMIF('V1'!L9:L585,'V2'!E13,'V1'!C9:C585)</f>
        <v>72483</v>
      </c>
      <c r="H13" s="28">
        <f>SUMIF('V1'!L9:L585,'V2'!E13,'V1'!D9:D585)</f>
        <v>455</v>
      </c>
      <c r="I13" s="28">
        <f>SUMIF('V1'!L9:L585,'V2'!E13,'V1'!E9:E585)</f>
        <v>668</v>
      </c>
      <c r="J13" s="28">
        <f>SUMIF('V1'!L9:L585,'V2'!E13,'V1'!F9:F585)</f>
        <v>5786</v>
      </c>
    </row>
    <row r="14" spans="5:10" x14ac:dyDescent="0.25">
      <c r="E14" s="28" t="str">
        <v>France</v>
      </c>
      <c r="F14" s="28">
        <f>SUMIF('V1'!L10:L586,'V2'!E14,'V1'!G10:G586)</f>
        <v>40606.740000000005</v>
      </c>
      <c r="G14" s="28">
        <f>SUMIF('V1'!L10:L586,'V2'!E14,'V1'!C10:C586)</f>
        <v>108389.19999999997</v>
      </c>
      <c r="H14" s="28">
        <f>SUMIF('V1'!L10:L586,'V2'!E14,'V1'!D10:D586)</f>
        <v>769</v>
      </c>
      <c r="I14" s="28">
        <f>SUMIF('V1'!L10:L586,'V2'!E14,'V1'!E10:E586)</f>
        <v>1070</v>
      </c>
      <c r="J14" s="28">
        <f>SUMIF('V1'!L10:L586,'V2'!E14,'V1'!F10:F586)</f>
        <v>8222</v>
      </c>
    </row>
    <row r="15" spans="5:10" x14ac:dyDescent="0.25">
      <c r="E15" s="28" t="str">
        <v>Italy</v>
      </c>
      <c r="F15" s="28">
        <f>SUMIF('V1'!L11:L587,'V2'!E15,'V1'!G11:G587)</f>
        <v>41533.919999999998</v>
      </c>
      <c r="G15" s="28">
        <f>SUMIF('V1'!L11:L587,'V2'!E15,'V1'!C11:C587)</f>
        <v>94886.040000000008</v>
      </c>
      <c r="H15" s="28">
        <f>SUMIF('V1'!L11:L587,'V2'!E15,'V1'!D11:D587)</f>
        <v>744</v>
      </c>
      <c r="I15" s="28">
        <f>SUMIF('V1'!L11:L587,'V2'!E15,'V1'!E11:E587)</f>
        <v>873</v>
      </c>
      <c r="J15" s="28">
        <f>SUMIF('V1'!L11:L587,'V2'!E15,'V1'!F11:F587)</f>
        <v>6456</v>
      </c>
    </row>
    <row r="16" spans="5:10" x14ac:dyDescent="0.25">
      <c r="E16" s="28" t="str">
        <v>Mexico</v>
      </c>
      <c r="F16" s="28">
        <f>SUMIF('V1'!L12:L588,'V2'!E16,'V1'!G12:G588)</f>
        <v>23501.94</v>
      </c>
      <c r="G16" s="28">
        <f>SUMIF('V1'!L12:L588,'V2'!E16,'V1'!C12:C588)</f>
        <v>54179</v>
      </c>
      <c r="H16" s="28">
        <f>SUMIF('V1'!L12:L588,'V2'!E16,'V1'!D12:D588)</f>
        <v>442</v>
      </c>
      <c r="I16" s="28">
        <f>SUMIF('V1'!L12:L588,'V2'!E16,'V1'!E12:E588)</f>
        <v>486</v>
      </c>
      <c r="J16" s="28">
        <f>SUMIF('V1'!L12:L588,'V2'!E16,'V1'!F12:F588)</f>
        <v>4616</v>
      </c>
    </row>
    <row r="17" spans="5:10" x14ac:dyDescent="0.25">
      <c r="E17" s="28" t="str">
        <v>Singapore</v>
      </c>
      <c r="F17" s="28">
        <f>SUMIF('V1'!L13:L589,'V2'!E17,'V1'!G13:G589)</f>
        <v>18852.509999999998</v>
      </c>
      <c r="G17" s="28">
        <f>SUMIF('V1'!L13:L589,'V2'!E17,'V1'!C13:C589)</f>
        <v>46714</v>
      </c>
      <c r="H17" s="28">
        <f>SUMIF('V1'!L13:L589,'V2'!E17,'V1'!D13:D589)</f>
        <v>364</v>
      </c>
      <c r="I17" s="28">
        <f>SUMIF('V1'!L13:L589,'V2'!E17,'V1'!E13:E589)</f>
        <v>573</v>
      </c>
      <c r="J17" s="28">
        <f>SUMIF('V1'!L13:L589,'V2'!E17,'V1'!F13:F589)</f>
        <v>3870</v>
      </c>
    </row>
    <row r="18" spans="5:10" x14ac:dyDescent="0.25">
      <c r="E18" s="28" t="str">
        <v>South Africa</v>
      </c>
      <c r="F18" s="28">
        <f>SUMIF('V1'!L14:L590,'V2'!E18,'V1'!G14:G590)</f>
        <v>18780.379999999997</v>
      </c>
      <c r="G18" s="28">
        <f>SUMIF('V1'!L14:L590,'V2'!E18,'V1'!C14:C590)</f>
        <v>47585</v>
      </c>
      <c r="H18" s="28">
        <f>SUMIF('V1'!L14:L590,'V2'!E18,'V1'!D14:D590)</f>
        <v>360</v>
      </c>
      <c r="I18" s="28">
        <f>SUMIF('V1'!L14:L590,'V2'!E18,'V1'!E14:E590)</f>
        <v>368</v>
      </c>
      <c r="J18" s="28">
        <f>SUMIF('V1'!L14:L590,'V2'!E18,'V1'!F14:F590)</f>
        <v>3444</v>
      </c>
    </row>
    <row r="19" spans="5:10" x14ac:dyDescent="0.25">
      <c r="E19" s="28" t="str">
        <v>United Arab Emirates</v>
      </c>
      <c r="F19" s="28">
        <f>SUMIF('V1'!L15:L591,'V2'!E19,'V1'!G15:G591)</f>
        <v>16672.080000000002</v>
      </c>
      <c r="G19" s="28">
        <f>SUMIF('V1'!L15:L591,'V2'!E19,'V1'!C15:C591)</f>
        <v>44268</v>
      </c>
      <c r="H19" s="28">
        <f>SUMIF('V1'!L15:L591,'V2'!E19,'V1'!D15:D591)</f>
        <v>371</v>
      </c>
      <c r="I19" s="28">
        <f>SUMIF('V1'!L15:L591,'V2'!E19,'V1'!E15:E591)</f>
        <v>460</v>
      </c>
      <c r="J19" s="28">
        <f>SUMIF('V1'!L15:L591,'V2'!E19,'V1'!F15:F591)</f>
        <v>4140</v>
      </c>
    </row>
    <row r="20" spans="5:10" x14ac:dyDescent="0.25">
      <c r="E20" s="28" t="str">
        <v>Spain</v>
      </c>
      <c r="F20" s="28">
        <f>SUMIF('V1'!L16:L592,'V2'!E20,'V1'!G16:G592)</f>
        <v>12307</v>
      </c>
      <c r="G20" s="28">
        <f>SUMIF('V1'!L16:L592,'V2'!E20,'V1'!C16:C592)</f>
        <v>31429.4</v>
      </c>
      <c r="H20" s="28">
        <f>SUMIF('V1'!L16:L592,'V2'!E20,'V1'!D16:D592)</f>
        <v>304</v>
      </c>
      <c r="I20" s="28">
        <f>SUMIF('V1'!L16:L592,'V2'!E20,'V1'!E16:E592)</f>
        <v>246</v>
      </c>
      <c r="J20" s="28">
        <f>SUMIF('V1'!L16:L592,'V2'!E20,'V1'!F16:F592)</f>
        <v>3081</v>
      </c>
    </row>
  </sheetData>
  <autoFilter ref="E5:J5" xr:uid="{36ECB9E4-C8AD-4CB8-8038-752C9F9B5AD7}"/>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4D995-31F4-4820-B052-A1DB1288701E}">
  <sheetPr codeName="Sheet1"/>
  <dimension ref="A1:U578"/>
  <sheetViews>
    <sheetView workbookViewId="0">
      <selection activeCell="I9" sqref="I9"/>
    </sheetView>
  </sheetViews>
  <sheetFormatPr defaultRowHeight="15" x14ac:dyDescent="0.25"/>
  <cols>
    <col min="1" max="1" width="14.42578125" customWidth="1"/>
    <col min="4" max="4" width="23.42578125" customWidth="1"/>
    <col min="5" max="5" width="23.28515625" customWidth="1"/>
    <col min="6" max="6" width="19.42578125" customWidth="1"/>
    <col min="7" max="7" width="17.85546875" customWidth="1"/>
    <col min="8" max="8" width="14.5703125" customWidth="1"/>
    <col min="9" max="9" width="9.85546875" customWidth="1"/>
    <col min="10" max="10" width="9.140625" customWidth="1"/>
    <col min="11" max="11" width="16.28515625" customWidth="1"/>
    <col min="12" max="12" width="14.140625" customWidth="1"/>
    <col min="15" max="15" width="9.7109375" bestFit="1" customWidth="1"/>
  </cols>
  <sheetData>
    <row r="1" spans="1:21" ht="18.75" customHeight="1" x14ac:dyDescent="0.25">
      <c r="A1" s="29" t="s">
        <v>420</v>
      </c>
      <c r="B1" s="29" t="s">
        <v>419</v>
      </c>
      <c r="C1" s="29" t="s">
        <v>418</v>
      </c>
      <c r="D1" s="29" t="s">
        <v>417</v>
      </c>
      <c r="E1" s="29" t="s">
        <v>416</v>
      </c>
      <c r="F1" s="29" t="s">
        <v>415</v>
      </c>
      <c r="G1" s="29" t="s">
        <v>414</v>
      </c>
      <c r="H1" s="29" t="s">
        <v>413</v>
      </c>
      <c r="I1" s="29" t="s">
        <v>412</v>
      </c>
      <c r="J1" s="29" t="s">
        <v>411</v>
      </c>
      <c r="K1" s="29" t="s">
        <v>410</v>
      </c>
      <c r="L1" s="30" t="s">
        <v>409</v>
      </c>
    </row>
    <row r="2" spans="1:21" x14ac:dyDescent="0.25">
      <c r="A2" s="1" t="s">
        <v>408</v>
      </c>
      <c r="B2" s="1" t="s">
        <v>34</v>
      </c>
      <c r="C2" s="1">
        <v>615</v>
      </c>
      <c r="D2" s="1">
        <v>10</v>
      </c>
      <c r="E2" s="1">
        <v>38</v>
      </c>
      <c r="F2" s="1">
        <v>212</v>
      </c>
      <c r="G2" s="7">
        <v>1580.92</v>
      </c>
      <c r="H2" s="1" t="s">
        <v>19</v>
      </c>
      <c r="I2" s="1" t="s">
        <v>13</v>
      </c>
      <c r="J2" s="1" t="s">
        <v>18</v>
      </c>
      <c r="K2" s="1" t="s">
        <v>7</v>
      </c>
      <c r="L2" s="1" t="s">
        <v>0</v>
      </c>
    </row>
    <row r="3" spans="1:21" x14ac:dyDescent="0.25">
      <c r="A3" s="1" t="s">
        <v>407</v>
      </c>
      <c r="B3" s="1" t="s">
        <v>34</v>
      </c>
      <c r="C3" s="1">
        <v>4667</v>
      </c>
      <c r="D3" s="1">
        <v>21</v>
      </c>
      <c r="E3" s="1">
        <v>0</v>
      </c>
      <c r="F3" s="1">
        <v>349</v>
      </c>
      <c r="G3" s="7">
        <v>749.5</v>
      </c>
      <c r="H3" s="1" t="s">
        <v>4</v>
      </c>
      <c r="I3" s="1" t="s">
        <v>3</v>
      </c>
      <c r="J3" s="1" t="s">
        <v>18</v>
      </c>
      <c r="K3" s="1" t="s">
        <v>1</v>
      </c>
      <c r="L3" s="1" t="s">
        <v>0</v>
      </c>
    </row>
    <row r="4" spans="1:21" x14ac:dyDescent="0.25">
      <c r="A4" s="1" t="s">
        <v>406</v>
      </c>
      <c r="B4" s="1" t="s">
        <v>34</v>
      </c>
      <c r="C4" s="1">
        <v>2218</v>
      </c>
      <c r="D4" s="1">
        <v>41</v>
      </c>
      <c r="E4" s="1">
        <v>-1</v>
      </c>
      <c r="F4" s="1">
        <v>210</v>
      </c>
      <c r="G4" s="7">
        <v>736.53</v>
      </c>
      <c r="H4" s="1" t="s">
        <v>14</v>
      </c>
      <c r="I4" s="1" t="s">
        <v>3</v>
      </c>
      <c r="J4" s="1" t="s">
        <v>11</v>
      </c>
      <c r="K4" s="1" t="s">
        <v>1</v>
      </c>
      <c r="L4" s="1" t="s">
        <v>0</v>
      </c>
    </row>
    <row r="5" spans="1:21" x14ac:dyDescent="0.25">
      <c r="A5" s="1" t="s">
        <v>405</v>
      </c>
      <c r="B5" s="1" t="s">
        <v>34</v>
      </c>
      <c r="C5" s="1">
        <v>1077</v>
      </c>
      <c r="D5" s="1">
        <v>15</v>
      </c>
      <c r="E5" s="1">
        <v>41</v>
      </c>
      <c r="F5" s="1">
        <v>40</v>
      </c>
      <c r="G5" s="7">
        <v>2059.2399999999998</v>
      </c>
      <c r="H5" s="1" t="s">
        <v>14</v>
      </c>
      <c r="I5" s="1" t="s">
        <v>13</v>
      </c>
      <c r="J5" s="1" t="s">
        <v>2</v>
      </c>
      <c r="K5" s="1" t="s">
        <v>10</v>
      </c>
      <c r="L5" s="1" t="s">
        <v>0</v>
      </c>
    </row>
    <row r="6" spans="1:21" x14ac:dyDescent="0.25">
      <c r="A6" s="1" t="s">
        <v>404</v>
      </c>
      <c r="B6" s="1" t="s">
        <v>34</v>
      </c>
      <c r="C6" s="1">
        <v>868</v>
      </c>
      <c r="D6" s="1">
        <v>10</v>
      </c>
      <c r="E6" s="1">
        <v>49</v>
      </c>
      <c r="F6" s="1">
        <v>175</v>
      </c>
      <c r="G6" s="7">
        <v>256.43</v>
      </c>
      <c r="H6" s="1" t="s">
        <v>12</v>
      </c>
      <c r="I6" s="1" t="s">
        <v>13</v>
      </c>
      <c r="J6" s="1" t="s">
        <v>18</v>
      </c>
      <c r="K6" s="1" t="s">
        <v>7</v>
      </c>
      <c r="L6" s="1" t="s">
        <v>0</v>
      </c>
    </row>
    <row r="7" spans="1:21" x14ac:dyDescent="0.25">
      <c r="A7" s="1" t="s">
        <v>403</v>
      </c>
      <c r="B7" s="1" t="s">
        <v>34</v>
      </c>
      <c r="C7" s="1">
        <v>1974</v>
      </c>
      <c r="D7" s="1">
        <v>31</v>
      </c>
      <c r="E7" s="1">
        <v>3</v>
      </c>
      <c r="F7" s="1">
        <v>161</v>
      </c>
      <c r="G7" s="7">
        <v>117</v>
      </c>
      <c r="H7" s="1" t="s">
        <v>12</v>
      </c>
      <c r="I7" s="1" t="s">
        <v>13</v>
      </c>
      <c r="J7" s="1" t="s">
        <v>18</v>
      </c>
      <c r="K7" s="1" t="s">
        <v>15</v>
      </c>
      <c r="L7" s="1" t="s">
        <v>0</v>
      </c>
      <c r="U7" s="1"/>
    </row>
    <row r="8" spans="1:21" x14ac:dyDescent="0.25">
      <c r="A8" s="1" t="s">
        <v>402</v>
      </c>
      <c r="B8" s="1" t="s">
        <v>34</v>
      </c>
      <c r="C8" s="1">
        <v>702</v>
      </c>
      <c r="D8" s="1">
        <v>22</v>
      </c>
      <c r="E8" s="1">
        <v>9</v>
      </c>
      <c r="F8" s="1">
        <v>288</v>
      </c>
      <c r="G8" s="7">
        <v>694.7</v>
      </c>
      <c r="H8" s="1" t="s">
        <v>4</v>
      </c>
      <c r="I8" s="1" t="s">
        <v>3</v>
      </c>
      <c r="J8" s="1" t="s">
        <v>18</v>
      </c>
      <c r="K8" s="1" t="s">
        <v>7</v>
      </c>
      <c r="L8" s="1" t="s">
        <v>0</v>
      </c>
    </row>
    <row r="9" spans="1:21" x14ac:dyDescent="0.25">
      <c r="A9" s="1" t="s">
        <v>401</v>
      </c>
      <c r="B9" s="1" t="s">
        <v>34</v>
      </c>
      <c r="C9" s="1">
        <v>3117</v>
      </c>
      <c r="D9" s="1">
        <v>27</v>
      </c>
      <c r="E9" s="1">
        <v>2</v>
      </c>
      <c r="F9" s="1">
        <v>142</v>
      </c>
      <c r="G9" s="7">
        <v>1330.48</v>
      </c>
      <c r="H9" s="1" t="s">
        <v>14</v>
      </c>
      <c r="I9" s="1" t="s">
        <v>13</v>
      </c>
      <c r="J9" s="1" t="s">
        <v>18</v>
      </c>
      <c r="K9" s="1" t="s">
        <v>7</v>
      </c>
      <c r="L9" s="1" t="s">
        <v>0</v>
      </c>
    </row>
    <row r="10" spans="1:21" x14ac:dyDescent="0.25">
      <c r="A10" s="1" t="s">
        <v>400</v>
      </c>
      <c r="B10" s="1" t="s">
        <v>34</v>
      </c>
      <c r="C10" s="1">
        <v>1448</v>
      </c>
      <c r="D10" s="1">
        <v>17</v>
      </c>
      <c r="E10" s="1">
        <v>28</v>
      </c>
      <c r="F10" s="1">
        <v>212</v>
      </c>
      <c r="G10" s="7">
        <v>1040.24</v>
      </c>
      <c r="H10" s="1" t="s">
        <v>29</v>
      </c>
      <c r="I10" s="1" t="s">
        <v>13</v>
      </c>
      <c r="J10" s="1" t="s">
        <v>18</v>
      </c>
      <c r="K10" s="1" t="s">
        <v>17</v>
      </c>
      <c r="L10" s="1" t="s">
        <v>0</v>
      </c>
    </row>
    <row r="11" spans="1:21" x14ac:dyDescent="0.25">
      <c r="A11" s="1" t="s">
        <v>399</v>
      </c>
      <c r="B11" s="1" t="s">
        <v>34</v>
      </c>
      <c r="C11" s="1">
        <v>707</v>
      </c>
      <c r="D11" s="1">
        <v>18</v>
      </c>
      <c r="E11" s="1">
        <v>39</v>
      </c>
      <c r="F11" s="1">
        <v>28</v>
      </c>
      <c r="G11" s="7">
        <v>1474.64</v>
      </c>
      <c r="H11" s="1" t="s">
        <v>19</v>
      </c>
      <c r="I11" s="1" t="s">
        <v>3</v>
      </c>
      <c r="J11" s="1" t="s">
        <v>18</v>
      </c>
      <c r="K11" s="1" t="s">
        <v>7</v>
      </c>
      <c r="L11" s="1" t="s">
        <v>0</v>
      </c>
    </row>
    <row r="12" spans="1:21" x14ac:dyDescent="0.25">
      <c r="A12" s="1" t="s">
        <v>398</v>
      </c>
      <c r="B12" s="1" t="s">
        <v>34</v>
      </c>
      <c r="C12" s="1">
        <v>3027</v>
      </c>
      <c r="D12" s="1">
        <v>22</v>
      </c>
      <c r="E12" s="1">
        <v>-5</v>
      </c>
      <c r="F12" s="1">
        <v>146</v>
      </c>
      <c r="G12" s="7">
        <v>1529.31</v>
      </c>
      <c r="H12" s="1" t="s">
        <v>25</v>
      </c>
      <c r="I12" s="1" t="s">
        <v>13</v>
      </c>
      <c r="J12" s="1" t="s">
        <v>18</v>
      </c>
      <c r="K12" s="1" t="s">
        <v>17</v>
      </c>
      <c r="L12" s="1" t="s">
        <v>0</v>
      </c>
    </row>
    <row r="13" spans="1:21" x14ac:dyDescent="0.25">
      <c r="A13" s="1" t="s">
        <v>397</v>
      </c>
      <c r="B13" s="1" t="s">
        <v>34</v>
      </c>
      <c r="C13" s="1">
        <v>4138</v>
      </c>
      <c r="D13" s="1">
        <v>3</v>
      </c>
      <c r="E13" s="1">
        <v>30</v>
      </c>
      <c r="F13" s="1">
        <v>97</v>
      </c>
      <c r="G13" s="7">
        <v>2309.11</v>
      </c>
      <c r="H13" s="1" t="s">
        <v>4</v>
      </c>
      <c r="I13" s="1" t="s">
        <v>13</v>
      </c>
      <c r="J13" s="1" t="s">
        <v>18</v>
      </c>
      <c r="K13" s="1" t="s">
        <v>1</v>
      </c>
      <c r="L13" s="1" t="s">
        <v>0</v>
      </c>
    </row>
    <row r="14" spans="1:21" x14ac:dyDescent="0.25">
      <c r="A14" s="1" t="s">
        <v>396</v>
      </c>
      <c r="B14" s="1" t="s">
        <v>34</v>
      </c>
      <c r="C14" s="1">
        <v>1141</v>
      </c>
      <c r="D14" s="1">
        <v>34</v>
      </c>
      <c r="E14" s="1">
        <v>6</v>
      </c>
      <c r="F14" s="1">
        <v>125</v>
      </c>
      <c r="G14" s="7">
        <v>1658.85</v>
      </c>
      <c r="H14" s="1" t="s">
        <v>12</v>
      </c>
      <c r="I14" s="1" t="s">
        <v>13</v>
      </c>
      <c r="J14" s="1" t="s">
        <v>18</v>
      </c>
      <c r="K14" s="1" t="s">
        <v>10</v>
      </c>
      <c r="L14" s="1" t="s">
        <v>0</v>
      </c>
    </row>
    <row r="15" spans="1:21" x14ac:dyDescent="0.25">
      <c r="A15" s="1" t="s">
        <v>395</v>
      </c>
      <c r="B15" s="1" t="s">
        <v>34</v>
      </c>
      <c r="C15" s="1">
        <v>1519</v>
      </c>
      <c r="D15" s="1">
        <v>9</v>
      </c>
      <c r="E15" s="1">
        <v>28</v>
      </c>
      <c r="F15" s="1">
        <v>182</v>
      </c>
      <c r="G15" s="7">
        <v>1282.2</v>
      </c>
      <c r="H15" s="1" t="s">
        <v>14</v>
      </c>
      <c r="I15" s="1" t="s">
        <v>3</v>
      </c>
      <c r="J15" s="1" t="s">
        <v>18</v>
      </c>
      <c r="K15" s="1" t="s">
        <v>15</v>
      </c>
      <c r="L15" s="1" t="s">
        <v>0</v>
      </c>
    </row>
    <row r="16" spans="1:21" x14ac:dyDescent="0.25">
      <c r="A16" s="1" t="s">
        <v>394</v>
      </c>
      <c r="B16" s="1" t="s">
        <v>34</v>
      </c>
      <c r="C16" s="1">
        <v>4487</v>
      </c>
      <c r="D16" s="1">
        <v>3</v>
      </c>
      <c r="E16" s="1">
        <v>27</v>
      </c>
      <c r="F16" s="1">
        <v>369</v>
      </c>
      <c r="G16" s="7">
        <v>1015.56</v>
      </c>
      <c r="H16" s="1" t="s">
        <v>12</v>
      </c>
      <c r="I16" s="1" t="s">
        <v>13</v>
      </c>
      <c r="J16" s="1" t="s">
        <v>11</v>
      </c>
      <c r="K16" s="1" t="s">
        <v>21</v>
      </c>
      <c r="L16" s="1" t="s">
        <v>0</v>
      </c>
    </row>
    <row r="17" spans="1:12" x14ac:dyDescent="0.25">
      <c r="A17" s="1" t="s">
        <v>393</v>
      </c>
      <c r="B17" s="1" t="s">
        <v>34</v>
      </c>
      <c r="C17" s="1">
        <v>3284</v>
      </c>
      <c r="D17" s="1">
        <v>17</v>
      </c>
      <c r="E17" s="1">
        <v>36</v>
      </c>
      <c r="F17" s="1">
        <v>444</v>
      </c>
      <c r="G17" s="7">
        <v>2376.14</v>
      </c>
      <c r="H17" s="1" t="s">
        <v>12</v>
      </c>
      <c r="I17" s="1" t="s">
        <v>13</v>
      </c>
      <c r="J17" s="1" t="s">
        <v>18</v>
      </c>
      <c r="K17" s="1" t="s">
        <v>7</v>
      </c>
      <c r="L17" s="1" t="s">
        <v>0</v>
      </c>
    </row>
    <row r="18" spans="1:12" x14ac:dyDescent="0.25">
      <c r="A18" s="1" t="s">
        <v>392</v>
      </c>
      <c r="B18" s="1" t="s">
        <v>34</v>
      </c>
      <c r="C18" s="1">
        <v>1578</v>
      </c>
      <c r="D18" s="1">
        <v>22</v>
      </c>
      <c r="E18" s="1">
        <v>17</v>
      </c>
      <c r="F18" s="1">
        <v>113</v>
      </c>
      <c r="G18" s="7">
        <v>1396.25</v>
      </c>
      <c r="H18" s="1" t="s">
        <v>14</v>
      </c>
      <c r="I18" s="1" t="s">
        <v>13</v>
      </c>
      <c r="J18" s="1" t="s">
        <v>8</v>
      </c>
      <c r="K18" s="1" t="s">
        <v>7</v>
      </c>
      <c r="L18" s="1" t="s">
        <v>0</v>
      </c>
    </row>
    <row r="19" spans="1:12" x14ac:dyDescent="0.25">
      <c r="A19" s="1" t="s">
        <v>391</v>
      </c>
      <c r="B19" s="1" t="s">
        <v>34</v>
      </c>
      <c r="C19" s="1">
        <v>4657</v>
      </c>
      <c r="D19" s="1">
        <v>36</v>
      </c>
      <c r="E19" s="1">
        <v>48</v>
      </c>
      <c r="F19" s="1">
        <v>245</v>
      </c>
      <c r="G19" s="7">
        <v>259.48</v>
      </c>
      <c r="H19" s="1" t="s">
        <v>14</v>
      </c>
      <c r="I19" s="1" t="s">
        <v>13</v>
      </c>
      <c r="J19" s="1" t="s">
        <v>18</v>
      </c>
      <c r="K19" s="1" t="s">
        <v>15</v>
      </c>
      <c r="L19" s="1" t="s">
        <v>0</v>
      </c>
    </row>
    <row r="20" spans="1:12" x14ac:dyDescent="0.25">
      <c r="A20" s="1" t="s">
        <v>390</v>
      </c>
      <c r="B20" s="1" t="s">
        <v>34</v>
      </c>
      <c r="C20" s="1">
        <v>4367</v>
      </c>
      <c r="D20" s="1">
        <v>37</v>
      </c>
      <c r="E20" s="1">
        <v>22</v>
      </c>
      <c r="F20" s="1">
        <v>335</v>
      </c>
      <c r="G20" s="7">
        <v>1699.21</v>
      </c>
      <c r="H20" s="1" t="s">
        <v>14</v>
      </c>
      <c r="I20" s="1" t="s">
        <v>13</v>
      </c>
      <c r="J20" s="1" t="s">
        <v>11</v>
      </c>
      <c r="K20" s="1" t="s">
        <v>17</v>
      </c>
      <c r="L20" s="1" t="s">
        <v>0</v>
      </c>
    </row>
    <row r="21" spans="1:12" x14ac:dyDescent="0.25">
      <c r="A21" s="1" t="s">
        <v>389</v>
      </c>
      <c r="B21" s="1" t="s">
        <v>34</v>
      </c>
      <c r="C21" s="1">
        <v>546</v>
      </c>
      <c r="D21" s="1">
        <v>41</v>
      </c>
      <c r="E21" s="1">
        <v>34</v>
      </c>
      <c r="F21" s="1">
        <v>371</v>
      </c>
      <c r="G21" s="7">
        <v>1297.73</v>
      </c>
      <c r="H21" s="1" t="s">
        <v>12</v>
      </c>
      <c r="I21" s="1" t="s">
        <v>3</v>
      </c>
      <c r="J21" s="1" t="s">
        <v>11</v>
      </c>
      <c r="K21" s="1" t="s">
        <v>15</v>
      </c>
      <c r="L21" s="1" t="s">
        <v>0</v>
      </c>
    </row>
    <row r="22" spans="1:12" x14ac:dyDescent="0.25">
      <c r="A22" s="1" t="s">
        <v>388</v>
      </c>
      <c r="B22" s="1" t="s">
        <v>34</v>
      </c>
      <c r="C22" s="1">
        <v>2974</v>
      </c>
      <c r="D22" s="1">
        <v>27</v>
      </c>
      <c r="E22" s="1">
        <v>36</v>
      </c>
      <c r="F22" s="1">
        <v>162</v>
      </c>
      <c r="G22" s="7">
        <v>415.96</v>
      </c>
      <c r="H22" s="1" t="s">
        <v>19</v>
      </c>
      <c r="I22" s="1" t="s">
        <v>13</v>
      </c>
      <c r="J22" s="1" t="s">
        <v>18</v>
      </c>
      <c r="K22" s="1" t="s">
        <v>10</v>
      </c>
      <c r="L22" s="1" t="s">
        <v>0</v>
      </c>
    </row>
    <row r="23" spans="1:12" x14ac:dyDescent="0.25">
      <c r="A23" s="1" t="s">
        <v>387</v>
      </c>
      <c r="B23" s="1" t="s">
        <v>34</v>
      </c>
      <c r="C23" s="1">
        <v>2056</v>
      </c>
      <c r="D23" s="1">
        <v>18</v>
      </c>
      <c r="E23" s="1">
        <v>29</v>
      </c>
      <c r="F23" s="1">
        <v>402</v>
      </c>
      <c r="G23" s="7">
        <v>1403.64</v>
      </c>
      <c r="H23" s="1" t="s">
        <v>4</v>
      </c>
      <c r="I23" s="1" t="s">
        <v>13</v>
      </c>
      <c r="J23" s="1" t="s">
        <v>11</v>
      </c>
      <c r="K23" s="1" t="s">
        <v>1</v>
      </c>
      <c r="L23" s="1" t="s">
        <v>0</v>
      </c>
    </row>
    <row r="24" spans="1:12" x14ac:dyDescent="0.25">
      <c r="A24" s="1" t="s">
        <v>386</v>
      </c>
      <c r="B24" s="1" t="s">
        <v>34</v>
      </c>
      <c r="C24" s="1">
        <v>1519</v>
      </c>
      <c r="D24" s="1">
        <v>29</v>
      </c>
      <c r="E24" s="1">
        <v>50</v>
      </c>
      <c r="F24" s="1">
        <v>278</v>
      </c>
      <c r="G24" s="7">
        <v>622.07000000000005</v>
      </c>
      <c r="H24" s="1" t="s">
        <v>14</v>
      </c>
      <c r="I24" s="1" t="s">
        <v>3</v>
      </c>
      <c r="J24" s="1" t="s">
        <v>18</v>
      </c>
      <c r="K24" s="1" t="s">
        <v>10</v>
      </c>
      <c r="L24" s="1" t="s">
        <v>0</v>
      </c>
    </row>
    <row r="25" spans="1:12" x14ac:dyDescent="0.25">
      <c r="A25" s="1" t="s">
        <v>385</v>
      </c>
      <c r="B25" s="1" t="s">
        <v>34</v>
      </c>
      <c r="C25" s="1">
        <v>3071</v>
      </c>
      <c r="D25" s="1">
        <v>21</v>
      </c>
      <c r="E25" s="1">
        <v>15</v>
      </c>
      <c r="F25" s="1">
        <v>161</v>
      </c>
      <c r="G25" s="7">
        <v>1628.69</v>
      </c>
      <c r="H25" s="1" t="s">
        <v>4</v>
      </c>
      <c r="I25" s="1" t="s">
        <v>3</v>
      </c>
      <c r="J25" s="1" t="s">
        <v>18</v>
      </c>
      <c r="K25" s="1" t="s">
        <v>10</v>
      </c>
      <c r="L25" s="1" t="s">
        <v>0</v>
      </c>
    </row>
    <row r="26" spans="1:12" x14ac:dyDescent="0.25">
      <c r="A26" s="1" t="s">
        <v>384</v>
      </c>
      <c r="B26" s="1" t="s">
        <v>34</v>
      </c>
      <c r="C26" s="1">
        <v>516</v>
      </c>
      <c r="D26" s="1">
        <v>26</v>
      </c>
      <c r="E26" s="1">
        <v>45</v>
      </c>
      <c r="F26" s="1">
        <v>112</v>
      </c>
      <c r="G26" s="7">
        <v>61.75</v>
      </c>
      <c r="H26" s="1" t="s">
        <v>12</v>
      </c>
      <c r="I26" s="1" t="s">
        <v>3</v>
      </c>
      <c r="J26" s="1" t="s">
        <v>18</v>
      </c>
      <c r="K26" s="1" t="s">
        <v>10</v>
      </c>
      <c r="L26" s="1" t="s">
        <v>0</v>
      </c>
    </row>
    <row r="27" spans="1:12" x14ac:dyDescent="0.25">
      <c r="A27" s="1" t="s">
        <v>383</v>
      </c>
      <c r="B27" s="1" t="s">
        <v>34</v>
      </c>
      <c r="C27" s="1">
        <v>4045</v>
      </c>
      <c r="D27" s="1">
        <v>14</v>
      </c>
      <c r="E27" s="1">
        <v>10</v>
      </c>
      <c r="F27" s="1">
        <v>291</v>
      </c>
      <c r="G27" s="7">
        <v>747.65</v>
      </c>
      <c r="H27" s="1" t="s">
        <v>4</v>
      </c>
      <c r="I27" s="1" t="s">
        <v>13</v>
      </c>
      <c r="J27" s="1" t="s">
        <v>11</v>
      </c>
      <c r="K27" s="1" t="s">
        <v>7</v>
      </c>
      <c r="L27" s="1" t="s">
        <v>0</v>
      </c>
    </row>
    <row r="28" spans="1:12" x14ac:dyDescent="0.25">
      <c r="A28" s="1" t="s">
        <v>382</v>
      </c>
      <c r="B28" s="1" t="s">
        <v>34</v>
      </c>
      <c r="C28" s="1">
        <v>2787</v>
      </c>
      <c r="D28" s="1">
        <v>18</v>
      </c>
      <c r="E28" s="1">
        <v>3</v>
      </c>
      <c r="F28" s="1">
        <v>183</v>
      </c>
      <c r="G28" s="7">
        <v>2241.08</v>
      </c>
      <c r="H28" s="1" t="s">
        <v>14</v>
      </c>
      <c r="I28" s="1" t="s">
        <v>13</v>
      </c>
      <c r="J28" s="1" t="s">
        <v>18</v>
      </c>
      <c r="K28" s="1" t="s">
        <v>1</v>
      </c>
      <c r="L28" s="1" t="s">
        <v>0</v>
      </c>
    </row>
    <row r="29" spans="1:12" x14ac:dyDescent="0.25">
      <c r="A29" s="1" t="s">
        <v>381</v>
      </c>
      <c r="B29" s="1" t="s">
        <v>34</v>
      </c>
      <c r="C29" s="1">
        <v>795</v>
      </c>
      <c r="D29" s="1">
        <v>10</v>
      </c>
      <c r="E29" s="1">
        <v>50</v>
      </c>
      <c r="F29" s="1">
        <v>283</v>
      </c>
      <c r="G29" s="7">
        <v>1570.61</v>
      </c>
      <c r="H29" s="1" t="s">
        <v>4</v>
      </c>
      <c r="I29" s="1" t="s">
        <v>13</v>
      </c>
      <c r="J29" s="1" t="s">
        <v>18</v>
      </c>
      <c r="K29" s="1" t="s">
        <v>10</v>
      </c>
      <c r="L29" s="1" t="s">
        <v>0</v>
      </c>
    </row>
    <row r="30" spans="1:12" x14ac:dyDescent="0.25">
      <c r="A30" s="1" t="s">
        <v>380</v>
      </c>
      <c r="B30" s="1" t="s">
        <v>34</v>
      </c>
      <c r="C30" s="1">
        <v>3968</v>
      </c>
      <c r="D30" s="1">
        <v>27</v>
      </c>
      <c r="E30" s="1">
        <v>15</v>
      </c>
      <c r="F30" s="1">
        <v>67</v>
      </c>
      <c r="G30" s="7">
        <v>379.61</v>
      </c>
      <c r="H30" s="1" t="s">
        <v>4</v>
      </c>
      <c r="I30" s="1" t="s">
        <v>13</v>
      </c>
      <c r="J30" s="1" t="s">
        <v>18</v>
      </c>
      <c r="K30" s="1" t="s">
        <v>10</v>
      </c>
      <c r="L30" s="1" t="s">
        <v>0</v>
      </c>
    </row>
    <row r="31" spans="1:12" x14ac:dyDescent="0.25">
      <c r="A31" s="1" t="s">
        <v>379</v>
      </c>
      <c r="B31" s="1" t="s">
        <v>34</v>
      </c>
      <c r="C31" s="1">
        <v>3440</v>
      </c>
      <c r="D31" s="1">
        <v>28</v>
      </c>
      <c r="E31" s="1">
        <v>19</v>
      </c>
      <c r="F31" s="1">
        <v>255</v>
      </c>
      <c r="G31" s="7">
        <v>1281.44</v>
      </c>
      <c r="H31" s="1" t="s">
        <v>12</v>
      </c>
      <c r="I31" s="1" t="s">
        <v>3</v>
      </c>
      <c r="J31" s="1" t="s">
        <v>18</v>
      </c>
      <c r="K31" s="1" t="s">
        <v>17</v>
      </c>
      <c r="L31" s="1" t="s">
        <v>0</v>
      </c>
    </row>
    <row r="32" spans="1:12" x14ac:dyDescent="0.25">
      <c r="A32" s="1" t="s">
        <v>378</v>
      </c>
      <c r="B32" s="1" t="s">
        <v>34</v>
      </c>
      <c r="C32" s="1">
        <v>4963</v>
      </c>
      <c r="D32" s="1">
        <v>14</v>
      </c>
      <c r="E32" s="1">
        <v>22</v>
      </c>
      <c r="F32" s="1">
        <v>196</v>
      </c>
      <c r="G32" s="7">
        <v>1199.8499999999999</v>
      </c>
      <c r="H32" s="1" t="s">
        <v>12</v>
      </c>
      <c r="I32" s="1" t="s">
        <v>3</v>
      </c>
      <c r="J32" s="1" t="s">
        <v>18</v>
      </c>
      <c r="K32" s="1" t="s">
        <v>17</v>
      </c>
      <c r="L32" s="1" t="s">
        <v>0</v>
      </c>
    </row>
    <row r="33" spans="1:12" x14ac:dyDescent="0.25">
      <c r="A33" s="1" t="s">
        <v>377</v>
      </c>
      <c r="B33" s="1" t="s">
        <v>32</v>
      </c>
      <c r="C33" s="1">
        <v>3826</v>
      </c>
      <c r="D33" s="1">
        <v>26</v>
      </c>
      <c r="E33" s="1">
        <v>23</v>
      </c>
      <c r="F33" s="1">
        <v>303</v>
      </c>
      <c r="G33" s="7">
        <v>463.56</v>
      </c>
      <c r="H33" s="1" t="s">
        <v>14</v>
      </c>
      <c r="I33" s="1" t="s">
        <v>13</v>
      </c>
      <c r="J33" s="1" t="s">
        <v>8</v>
      </c>
      <c r="K33" s="1" t="s">
        <v>17</v>
      </c>
      <c r="L33" s="1" t="s">
        <v>0</v>
      </c>
    </row>
    <row r="34" spans="1:12" x14ac:dyDescent="0.25">
      <c r="A34" s="1" t="s">
        <v>376</v>
      </c>
      <c r="B34" s="1" t="s">
        <v>32</v>
      </c>
      <c r="C34" s="1">
        <v>612</v>
      </c>
      <c r="D34" s="1">
        <v>32</v>
      </c>
      <c r="E34" s="1">
        <v>16</v>
      </c>
      <c r="F34" s="1">
        <v>313</v>
      </c>
      <c r="G34" s="7">
        <v>2357.34</v>
      </c>
      <c r="H34" s="1" t="s">
        <v>14</v>
      </c>
      <c r="I34" s="1" t="s">
        <v>13</v>
      </c>
      <c r="J34" s="1" t="s">
        <v>18</v>
      </c>
      <c r="K34" s="1" t="s">
        <v>7</v>
      </c>
      <c r="L34" s="1" t="s">
        <v>0</v>
      </c>
    </row>
    <row r="35" spans="1:12" x14ac:dyDescent="0.25">
      <c r="A35" s="1" t="s">
        <v>375</v>
      </c>
      <c r="B35" s="1" t="s">
        <v>32</v>
      </c>
      <c r="C35" s="1">
        <v>886</v>
      </c>
      <c r="D35" s="1">
        <v>25</v>
      </c>
      <c r="E35" s="1">
        <v>40</v>
      </c>
      <c r="F35" s="1">
        <v>297</v>
      </c>
      <c r="G35" s="7">
        <v>83.1</v>
      </c>
      <c r="H35" s="1" t="s">
        <v>14</v>
      </c>
      <c r="I35" s="1" t="s">
        <v>13</v>
      </c>
      <c r="J35" s="1" t="s">
        <v>2</v>
      </c>
      <c r="K35" s="1" t="s">
        <v>10</v>
      </c>
      <c r="L35" s="1" t="s">
        <v>0</v>
      </c>
    </row>
    <row r="36" spans="1:12" x14ac:dyDescent="0.25">
      <c r="A36" s="1" t="s">
        <v>374</v>
      </c>
      <c r="B36" s="1" t="s">
        <v>32</v>
      </c>
      <c r="C36" s="1">
        <v>1621</v>
      </c>
      <c r="D36" s="1">
        <v>10</v>
      </c>
      <c r="E36" s="1">
        <v>33</v>
      </c>
      <c r="F36" s="1">
        <v>282</v>
      </c>
      <c r="G36" s="7">
        <v>15.34</v>
      </c>
      <c r="H36" s="1" t="s">
        <v>12</v>
      </c>
      <c r="I36" s="1" t="s">
        <v>3</v>
      </c>
      <c r="J36" s="1" t="s">
        <v>18</v>
      </c>
      <c r="K36" s="1" t="s">
        <v>10</v>
      </c>
      <c r="L36" s="1" t="s">
        <v>0</v>
      </c>
    </row>
    <row r="37" spans="1:12" x14ac:dyDescent="0.25">
      <c r="A37" s="1" t="s">
        <v>373</v>
      </c>
      <c r="B37" s="1" t="s">
        <v>32</v>
      </c>
      <c r="C37" s="1">
        <v>4148</v>
      </c>
      <c r="D37" s="1">
        <v>36</v>
      </c>
      <c r="E37" s="1">
        <v>10</v>
      </c>
      <c r="F37" s="1">
        <v>306</v>
      </c>
      <c r="G37" s="7">
        <v>241.04</v>
      </c>
      <c r="H37" s="1" t="s">
        <v>14</v>
      </c>
      <c r="I37" s="1" t="s">
        <v>3</v>
      </c>
      <c r="J37" s="1" t="s">
        <v>11</v>
      </c>
      <c r="K37" s="1" t="s">
        <v>10</v>
      </c>
      <c r="L37" s="1" t="s">
        <v>0</v>
      </c>
    </row>
    <row r="38" spans="1:12" x14ac:dyDescent="0.25">
      <c r="A38" s="1" t="s">
        <v>372</v>
      </c>
      <c r="B38" s="1" t="s">
        <v>32</v>
      </c>
      <c r="C38" s="1">
        <v>4820</v>
      </c>
      <c r="D38" s="1">
        <v>34</v>
      </c>
      <c r="E38" s="1">
        <v>29</v>
      </c>
      <c r="F38" s="1">
        <v>276</v>
      </c>
      <c r="G38" s="7">
        <v>1642.88</v>
      </c>
      <c r="H38" s="1" t="s">
        <v>12</v>
      </c>
      <c r="I38" s="1" t="s">
        <v>13</v>
      </c>
      <c r="J38" s="1" t="s">
        <v>11</v>
      </c>
      <c r="K38" s="1" t="s">
        <v>7</v>
      </c>
      <c r="L38" s="1" t="s">
        <v>0</v>
      </c>
    </row>
    <row r="39" spans="1:12" x14ac:dyDescent="0.25">
      <c r="A39" s="1" t="s">
        <v>371</v>
      </c>
      <c r="B39" s="1" t="s">
        <v>32</v>
      </c>
      <c r="C39" s="1">
        <v>4831</v>
      </c>
      <c r="D39" s="1">
        <v>12</v>
      </c>
      <c r="E39" s="1">
        <v>37</v>
      </c>
      <c r="F39" s="1">
        <v>80</v>
      </c>
      <c r="G39" s="7">
        <v>1639.72</v>
      </c>
      <c r="H39" s="1" t="s">
        <v>4</v>
      </c>
      <c r="I39" s="1" t="s">
        <v>3</v>
      </c>
      <c r="J39" s="1" t="s">
        <v>11</v>
      </c>
      <c r="K39" s="1" t="s">
        <v>10</v>
      </c>
      <c r="L39" s="1" t="s">
        <v>0</v>
      </c>
    </row>
    <row r="40" spans="1:12" x14ac:dyDescent="0.25">
      <c r="A40" s="1" t="s">
        <v>370</v>
      </c>
      <c r="B40" s="1" t="s">
        <v>32</v>
      </c>
      <c r="C40" s="1">
        <v>4349</v>
      </c>
      <c r="D40" s="1">
        <v>35</v>
      </c>
      <c r="E40" s="1">
        <v>8</v>
      </c>
      <c r="F40" s="1">
        <v>294</v>
      </c>
      <c r="G40" s="7">
        <v>1436.77</v>
      </c>
      <c r="H40" s="1" t="s">
        <v>14</v>
      </c>
      <c r="I40" s="1" t="s">
        <v>13</v>
      </c>
      <c r="J40" s="1" t="s">
        <v>2</v>
      </c>
      <c r="K40" s="1" t="s">
        <v>10</v>
      </c>
      <c r="L40" s="1" t="s">
        <v>0</v>
      </c>
    </row>
    <row r="41" spans="1:12" x14ac:dyDescent="0.25">
      <c r="A41" s="1" t="s">
        <v>369</v>
      </c>
      <c r="B41" s="1" t="s">
        <v>32</v>
      </c>
      <c r="C41" s="1">
        <v>2946</v>
      </c>
      <c r="D41" s="1">
        <v>27</v>
      </c>
      <c r="E41" s="1">
        <v>40</v>
      </c>
      <c r="F41" s="1">
        <v>74</v>
      </c>
      <c r="G41" s="7">
        <v>2125.14</v>
      </c>
      <c r="H41" s="1" t="s">
        <v>14</v>
      </c>
      <c r="I41" s="1" t="s">
        <v>13</v>
      </c>
      <c r="J41" s="1" t="s">
        <v>18</v>
      </c>
      <c r="K41" s="1" t="s">
        <v>1</v>
      </c>
      <c r="L41" s="1" t="s">
        <v>0</v>
      </c>
    </row>
    <row r="42" spans="1:12" x14ac:dyDescent="0.25">
      <c r="A42" s="1" t="s">
        <v>368</v>
      </c>
      <c r="B42" s="1" t="s">
        <v>32</v>
      </c>
      <c r="C42" s="1">
        <v>2727</v>
      </c>
      <c r="D42" s="1">
        <v>38</v>
      </c>
      <c r="E42" s="1">
        <v>36</v>
      </c>
      <c r="F42" s="1">
        <v>281</v>
      </c>
      <c r="G42" s="7">
        <v>640.48</v>
      </c>
      <c r="H42" s="1" t="s">
        <v>25</v>
      </c>
      <c r="I42" s="1" t="s">
        <v>13</v>
      </c>
      <c r="J42" s="1" t="s">
        <v>18</v>
      </c>
      <c r="K42" s="1" t="s">
        <v>17</v>
      </c>
      <c r="L42" s="1" t="s">
        <v>0</v>
      </c>
    </row>
    <row r="43" spans="1:12" x14ac:dyDescent="0.25">
      <c r="A43" s="1" t="s">
        <v>367</v>
      </c>
      <c r="B43" s="1" t="s">
        <v>32</v>
      </c>
      <c r="C43" s="1">
        <v>4814</v>
      </c>
      <c r="D43" s="1">
        <v>5</v>
      </c>
      <c r="E43" s="1">
        <v>10</v>
      </c>
      <c r="F43" s="1">
        <v>96</v>
      </c>
      <c r="G43" s="7">
        <v>1672.38</v>
      </c>
      <c r="H43" s="1" t="s">
        <v>14</v>
      </c>
      <c r="I43" s="1" t="s">
        <v>13</v>
      </c>
      <c r="J43" s="1" t="s">
        <v>2</v>
      </c>
      <c r="K43" s="1" t="s">
        <v>15</v>
      </c>
      <c r="L43" s="1" t="s">
        <v>0</v>
      </c>
    </row>
    <row r="44" spans="1:12" x14ac:dyDescent="0.25">
      <c r="A44" s="1" t="s">
        <v>366</v>
      </c>
      <c r="B44" s="1" t="s">
        <v>32</v>
      </c>
      <c r="C44" s="1">
        <v>581</v>
      </c>
      <c r="D44" s="1">
        <v>36</v>
      </c>
      <c r="E44" s="1">
        <v>19</v>
      </c>
      <c r="F44" s="1">
        <v>327</v>
      </c>
      <c r="G44" s="7">
        <v>1492.9</v>
      </c>
      <c r="H44" s="1" t="s">
        <v>14</v>
      </c>
      <c r="I44" s="1" t="s">
        <v>3</v>
      </c>
      <c r="J44" s="1" t="s">
        <v>8</v>
      </c>
      <c r="K44" s="1" t="s">
        <v>7</v>
      </c>
      <c r="L44" s="1" t="s">
        <v>0</v>
      </c>
    </row>
    <row r="45" spans="1:12" x14ac:dyDescent="0.25">
      <c r="A45" s="1" t="s">
        <v>365</v>
      </c>
      <c r="B45" s="1" t="s">
        <v>32</v>
      </c>
      <c r="C45" s="1">
        <v>3986</v>
      </c>
      <c r="D45" s="1">
        <v>22</v>
      </c>
      <c r="E45" s="1">
        <v>2</v>
      </c>
      <c r="F45" s="1">
        <v>175</v>
      </c>
      <c r="G45" s="7">
        <v>823.24</v>
      </c>
      <c r="H45" s="1" t="s">
        <v>14</v>
      </c>
      <c r="I45" s="1" t="s">
        <v>13</v>
      </c>
      <c r="J45" s="1" t="s">
        <v>18</v>
      </c>
      <c r="K45" s="1" t="s">
        <v>7</v>
      </c>
      <c r="L45" s="1" t="s">
        <v>0</v>
      </c>
    </row>
    <row r="46" spans="1:12" x14ac:dyDescent="0.25">
      <c r="A46" s="1" t="s">
        <v>364</v>
      </c>
      <c r="B46" s="1" t="s">
        <v>32</v>
      </c>
      <c r="C46" s="1">
        <v>4137</v>
      </c>
      <c r="D46" s="1">
        <v>33</v>
      </c>
      <c r="E46" s="1">
        <v>3</v>
      </c>
      <c r="F46" s="1">
        <v>236</v>
      </c>
      <c r="G46" s="7">
        <v>1483.82</v>
      </c>
      <c r="H46" s="1" t="s">
        <v>12</v>
      </c>
      <c r="I46" s="1" t="s">
        <v>3</v>
      </c>
      <c r="J46" s="1" t="s">
        <v>18</v>
      </c>
      <c r="K46" s="1" t="s">
        <v>1</v>
      </c>
      <c r="L46" s="1" t="s">
        <v>0</v>
      </c>
    </row>
    <row r="47" spans="1:12" x14ac:dyDescent="0.25">
      <c r="A47" s="1" t="s">
        <v>363</v>
      </c>
      <c r="B47" s="1" t="s">
        <v>32</v>
      </c>
      <c r="C47" s="1">
        <v>677</v>
      </c>
      <c r="D47" s="1">
        <v>17</v>
      </c>
      <c r="E47" s="1">
        <v>-4</v>
      </c>
      <c r="F47" s="1">
        <v>196</v>
      </c>
      <c r="G47" s="7">
        <v>1209.4000000000001</v>
      </c>
      <c r="H47" s="1" t="s">
        <v>14</v>
      </c>
      <c r="I47" s="1" t="s">
        <v>3</v>
      </c>
      <c r="J47" s="1" t="s">
        <v>18</v>
      </c>
      <c r="K47" s="1" t="s">
        <v>7</v>
      </c>
      <c r="L47" s="1" t="s">
        <v>0</v>
      </c>
    </row>
    <row r="48" spans="1:12" x14ac:dyDescent="0.25">
      <c r="A48" s="1" t="s">
        <v>362</v>
      </c>
      <c r="B48" s="1" t="s">
        <v>32</v>
      </c>
      <c r="C48" s="1">
        <v>3294</v>
      </c>
      <c r="D48" s="1">
        <v>29</v>
      </c>
      <c r="E48" s="1">
        <v>38</v>
      </c>
      <c r="F48" s="1">
        <v>294</v>
      </c>
      <c r="G48" s="7">
        <v>2114.83</v>
      </c>
      <c r="H48" s="1" t="s">
        <v>12</v>
      </c>
      <c r="I48" s="1" t="s">
        <v>3</v>
      </c>
      <c r="J48" s="1" t="s">
        <v>11</v>
      </c>
      <c r="K48" s="1" t="s">
        <v>1</v>
      </c>
      <c r="L48" s="1" t="s">
        <v>0</v>
      </c>
    </row>
    <row r="49" spans="1:12" x14ac:dyDescent="0.25">
      <c r="A49" s="1" t="s">
        <v>361</v>
      </c>
      <c r="B49" s="1" t="s">
        <v>32</v>
      </c>
      <c r="C49" s="1">
        <v>734</v>
      </c>
      <c r="D49" s="1">
        <v>6</v>
      </c>
      <c r="E49" s="1">
        <v>14</v>
      </c>
      <c r="F49" s="1">
        <v>299</v>
      </c>
      <c r="G49" s="7">
        <v>1727.97</v>
      </c>
      <c r="H49" s="1" t="s">
        <v>12</v>
      </c>
      <c r="I49" s="1" t="s">
        <v>13</v>
      </c>
      <c r="J49" s="1" t="s">
        <v>18</v>
      </c>
      <c r="K49" s="1" t="s">
        <v>10</v>
      </c>
      <c r="L49" s="1" t="s">
        <v>0</v>
      </c>
    </row>
    <row r="50" spans="1:12" x14ac:dyDescent="0.25">
      <c r="A50" s="1" t="s">
        <v>360</v>
      </c>
      <c r="B50" s="1" t="s">
        <v>32</v>
      </c>
      <c r="C50" s="1">
        <v>1820</v>
      </c>
      <c r="D50" s="1">
        <v>25</v>
      </c>
      <c r="E50" s="1">
        <v>-1</v>
      </c>
      <c r="F50" s="1">
        <v>296</v>
      </c>
      <c r="G50" s="7">
        <v>1028.99</v>
      </c>
      <c r="H50" s="1" t="s">
        <v>12</v>
      </c>
      <c r="I50" s="1" t="s">
        <v>13</v>
      </c>
      <c r="J50" s="1" t="s">
        <v>11</v>
      </c>
      <c r="K50" s="1" t="s">
        <v>7</v>
      </c>
      <c r="L50" s="1" t="s">
        <v>0</v>
      </c>
    </row>
    <row r="51" spans="1:12" x14ac:dyDescent="0.25">
      <c r="A51" s="1" t="s">
        <v>359</v>
      </c>
      <c r="B51" s="1" t="s">
        <v>32</v>
      </c>
      <c r="C51" s="1">
        <v>1406</v>
      </c>
      <c r="D51" s="1">
        <v>16</v>
      </c>
      <c r="E51" s="1">
        <v>30</v>
      </c>
      <c r="F51" s="1">
        <v>86</v>
      </c>
      <c r="G51" s="7">
        <v>691.81</v>
      </c>
      <c r="H51" s="1" t="s">
        <v>25</v>
      </c>
      <c r="I51" s="1" t="s">
        <v>13</v>
      </c>
      <c r="J51" s="1" t="s">
        <v>18</v>
      </c>
      <c r="K51" s="1" t="s">
        <v>17</v>
      </c>
      <c r="L51" s="1" t="s">
        <v>0</v>
      </c>
    </row>
    <row r="52" spans="1:12" x14ac:dyDescent="0.25">
      <c r="A52" s="1" t="s">
        <v>358</v>
      </c>
      <c r="B52" s="1" t="s">
        <v>32</v>
      </c>
      <c r="C52" s="1">
        <v>3252</v>
      </c>
      <c r="D52" s="1">
        <v>11</v>
      </c>
      <c r="E52" s="1">
        <v>-2</v>
      </c>
      <c r="F52" s="1">
        <v>113</v>
      </c>
      <c r="G52" s="7">
        <v>1431.52</v>
      </c>
      <c r="H52" s="1" t="s">
        <v>12</v>
      </c>
      <c r="I52" s="1" t="s">
        <v>3</v>
      </c>
      <c r="J52" s="1" t="s">
        <v>18</v>
      </c>
      <c r="K52" s="1" t="s">
        <v>17</v>
      </c>
      <c r="L52" s="1" t="s">
        <v>0</v>
      </c>
    </row>
    <row r="53" spans="1:12" x14ac:dyDescent="0.25">
      <c r="A53" s="1" t="s">
        <v>357</v>
      </c>
      <c r="B53" s="1" t="s">
        <v>32</v>
      </c>
      <c r="C53" s="1">
        <v>2752</v>
      </c>
      <c r="D53" s="1">
        <v>22</v>
      </c>
      <c r="E53" s="1">
        <v>11</v>
      </c>
      <c r="F53" s="1">
        <v>437</v>
      </c>
      <c r="G53" s="7">
        <v>644.92999999999995</v>
      </c>
      <c r="H53" s="1" t="s">
        <v>25</v>
      </c>
      <c r="I53" s="1" t="s">
        <v>13</v>
      </c>
      <c r="J53" s="1" t="s">
        <v>18</v>
      </c>
      <c r="K53" s="1" t="s">
        <v>7</v>
      </c>
      <c r="L53" s="1" t="s">
        <v>0</v>
      </c>
    </row>
    <row r="54" spans="1:12" x14ac:dyDescent="0.25">
      <c r="A54" s="1" t="s">
        <v>356</v>
      </c>
      <c r="B54" s="1" t="s">
        <v>32</v>
      </c>
      <c r="C54" s="1">
        <v>4336</v>
      </c>
      <c r="D54" s="1">
        <v>20</v>
      </c>
      <c r="E54" s="1">
        <v>30</v>
      </c>
      <c r="F54" s="1">
        <v>169</v>
      </c>
      <c r="G54" s="7">
        <v>2264.3000000000002</v>
      </c>
      <c r="H54" s="1" t="s">
        <v>4</v>
      </c>
      <c r="I54" s="1" t="s">
        <v>13</v>
      </c>
      <c r="J54" s="1" t="s">
        <v>18</v>
      </c>
      <c r="K54" s="1" t="s">
        <v>7</v>
      </c>
      <c r="L54" s="1" t="s">
        <v>0</v>
      </c>
    </row>
    <row r="55" spans="1:12" x14ac:dyDescent="0.25">
      <c r="A55" s="1" t="s">
        <v>355</v>
      </c>
      <c r="B55" s="1" t="s">
        <v>32</v>
      </c>
      <c r="C55" s="1">
        <v>2102</v>
      </c>
      <c r="D55" s="1">
        <v>15</v>
      </c>
      <c r="E55" s="1">
        <v>41</v>
      </c>
      <c r="F55" s="1">
        <v>367</v>
      </c>
      <c r="G55" s="7">
        <v>22.85</v>
      </c>
      <c r="H55" s="1" t="s">
        <v>12</v>
      </c>
      <c r="I55" s="1" t="s">
        <v>13</v>
      </c>
      <c r="J55" s="1" t="s">
        <v>18</v>
      </c>
      <c r="K55" s="1" t="s">
        <v>17</v>
      </c>
      <c r="L55" s="1" t="s">
        <v>0</v>
      </c>
    </row>
    <row r="56" spans="1:12" x14ac:dyDescent="0.25">
      <c r="A56" s="1" t="s">
        <v>354</v>
      </c>
      <c r="B56" s="1" t="s">
        <v>32</v>
      </c>
      <c r="C56" s="1">
        <v>1075</v>
      </c>
      <c r="D56" s="1">
        <v>25</v>
      </c>
      <c r="E56" s="1">
        <v>21</v>
      </c>
      <c r="F56" s="1">
        <v>188</v>
      </c>
      <c r="G56" s="7">
        <v>2408.1</v>
      </c>
      <c r="H56" s="1" t="s">
        <v>14</v>
      </c>
      <c r="I56" s="1" t="s">
        <v>3</v>
      </c>
      <c r="J56" s="1" t="s">
        <v>8</v>
      </c>
      <c r="K56" s="1" t="s">
        <v>10</v>
      </c>
      <c r="L56" s="1" t="s">
        <v>0</v>
      </c>
    </row>
    <row r="57" spans="1:12" x14ac:dyDescent="0.25">
      <c r="A57" s="1" t="s">
        <v>353</v>
      </c>
      <c r="B57" s="1" t="s">
        <v>32</v>
      </c>
      <c r="C57" s="1">
        <v>1570</v>
      </c>
      <c r="D57" s="1">
        <v>36</v>
      </c>
      <c r="E57" s="1">
        <v>8</v>
      </c>
      <c r="F57" s="1">
        <v>293</v>
      </c>
      <c r="G57" s="7">
        <v>917.63</v>
      </c>
      <c r="H57" s="1" t="s">
        <v>12</v>
      </c>
      <c r="I57" s="1" t="s">
        <v>13</v>
      </c>
      <c r="J57" s="1" t="s">
        <v>18</v>
      </c>
      <c r="K57" s="1" t="s">
        <v>7</v>
      </c>
      <c r="L57" s="1" t="s">
        <v>0</v>
      </c>
    </row>
    <row r="58" spans="1:12" x14ac:dyDescent="0.25">
      <c r="A58" s="1" t="s">
        <v>352</v>
      </c>
      <c r="B58" s="1" t="s">
        <v>32</v>
      </c>
      <c r="C58" s="1">
        <v>4582</v>
      </c>
      <c r="D58" s="1">
        <v>30</v>
      </c>
      <c r="E58" s="1">
        <v>4</v>
      </c>
      <c r="F58" s="1">
        <v>310</v>
      </c>
      <c r="G58" s="7">
        <v>1130.06</v>
      </c>
      <c r="H58" s="1" t="s">
        <v>12</v>
      </c>
      <c r="I58" s="1" t="s">
        <v>3</v>
      </c>
      <c r="J58" s="1" t="s">
        <v>18</v>
      </c>
      <c r="K58" s="1" t="s">
        <v>7</v>
      </c>
      <c r="L58" s="1" t="s">
        <v>0</v>
      </c>
    </row>
    <row r="59" spans="1:12" x14ac:dyDescent="0.25">
      <c r="A59" s="1" t="s">
        <v>351</v>
      </c>
      <c r="B59" s="1" t="s">
        <v>32</v>
      </c>
      <c r="C59" s="1">
        <v>1332</v>
      </c>
      <c r="D59" s="1">
        <v>26</v>
      </c>
      <c r="E59" s="1">
        <v>0</v>
      </c>
      <c r="F59" s="1">
        <v>71</v>
      </c>
      <c r="G59" s="7">
        <v>793.71</v>
      </c>
      <c r="H59" s="1" t="s">
        <v>12</v>
      </c>
      <c r="I59" s="1" t="s">
        <v>3</v>
      </c>
      <c r="J59" s="1" t="s">
        <v>18</v>
      </c>
      <c r="K59" s="1" t="s">
        <v>7</v>
      </c>
      <c r="L59" s="1" t="s">
        <v>0</v>
      </c>
    </row>
    <row r="60" spans="1:12" x14ac:dyDescent="0.25">
      <c r="A60" s="1" t="s">
        <v>350</v>
      </c>
      <c r="B60" s="1" t="s">
        <v>32</v>
      </c>
      <c r="C60" s="1">
        <v>3023</v>
      </c>
      <c r="D60" s="1">
        <v>8</v>
      </c>
      <c r="E60" s="1">
        <v>22</v>
      </c>
      <c r="F60" s="1">
        <v>212</v>
      </c>
      <c r="G60" s="7">
        <v>1870.72</v>
      </c>
      <c r="H60" s="1" t="s">
        <v>19</v>
      </c>
      <c r="I60" s="1" t="s">
        <v>3</v>
      </c>
      <c r="J60" s="1" t="s">
        <v>8</v>
      </c>
      <c r="K60" s="1" t="s">
        <v>10</v>
      </c>
      <c r="L60" s="1" t="s">
        <v>0</v>
      </c>
    </row>
    <row r="61" spans="1:12" x14ac:dyDescent="0.25">
      <c r="A61" s="1" t="s">
        <v>349</v>
      </c>
      <c r="B61" s="1" t="s">
        <v>31</v>
      </c>
      <c r="C61" s="1">
        <v>3544</v>
      </c>
      <c r="D61" s="1">
        <v>30</v>
      </c>
      <c r="E61" s="1">
        <v>7</v>
      </c>
      <c r="F61" s="1">
        <v>232</v>
      </c>
      <c r="G61" s="7">
        <v>2136.92</v>
      </c>
      <c r="H61" s="1" t="s">
        <v>14</v>
      </c>
      <c r="I61" s="1" t="s">
        <v>13</v>
      </c>
      <c r="J61" s="1" t="s">
        <v>18</v>
      </c>
      <c r="K61" s="1" t="s">
        <v>17</v>
      </c>
      <c r="L61" s="1" t="s">
        <v>0</v>
      </c>
    </row>
    <row r="62" spans="1:12" x14ac:dyDescent="0.25">
      <c r="A62" s="1" t="s">
        <v>348</v>
      </c>
      <c r="B62" s="1" t="s">
        <v>31</v>
      </c>
      <c r="C62" s="1">
        <v>3842</v>
      </c>
      <c r="D62" s="1">
        <v>8</v>
      </c>
      <c r="E62" s="1">
        <v>-4</v>
      </c>
      <c r="F62" s="1">
        <v>187</v>
      </c>
      <c r="G62" s="7">
        <v>2110.41</v>
      </c>
      <c r="H62" s="1" t="s">
        <v>4</v>
      </c>
      <c r="I62" s="1" t="s">
        <v>13</v>
      </c>
      <c r="J62" s="1" t="s">
        <v>18</v>
      </c>
      <c r="K62" s="1" t="s">
        <v>10</v>
      </c>
      <c r="L62" s="1" t="s">
        <v>0</v>
      </c>
    </row>
    <row r="63" spans="1:12" x14ac:dyDescent="0.25">
      <c r="A63" s="1" t="s">
        <v>347</v>
      </c>
      <c r="B63" s="1" t="s">
        <v>31</v>
      </c>
      <c r="C63" s="1">
        <v>4122</v>
      </c>
      <c r="D63" s="1">
        <v>14</v>
      </c>
      <c r="E63" s="1">
        <v>6</v>
      </c>
      <c r="F63" s="1">
        <v>449</v>
      </c>
      <c r="G63" s="7">
        <v>14.11</v>
      </c>
      <c r="H63" s="1" t="s">
        <v>12</v>
      </c>
      <c r="I63" s="1" t="s">
        <v>13</v>
      </c>
      <c r="J63" s="1" t="s">
        <v>18</v>
      </c>
      <c r="K63" s="1" t="s">
        <v>15</v>
      </c>
      <c r="L63" s="1" t="s">
        <v>0</v>
      </c>
    </row>
    <row r="64" spans="1:12" x14ac:dyDescent="0.25">
      <c r="A64" s="1" t="s">
        <v>346</v>
      </c>
      <c r="B64" s="1" t="s">
        <v>31</v>
      </c>
      <c r="C64" s="1">
        <v>569</v>
      </c>
      <c r="D64" s="1">
        <v>29</v>
      </c>
      <c r="E64" s="1">
        <v>1</v>
      </c>
      <c r="F64" s="1">
        <v>284</v>
      </c>
      <c r="G64" s="7">
        <v>982.22</v>
      </c>
      <c r="H64" s="1" t="s">
        <v>19</v>
      </c>
      <c r="I64" s="1" t="s">
        <v>13</v>
      </c>
      <c r="J64" s="1" t="s">
        <v>18</v>
      </c>
      <c r="K64" s="1" t="s">
        <v>10</v>
      </c>
      <c r="L64" s="1" t="s">
        <v>0</v>
      </c>
    </row>
    <row r="65" spans="1:12" x14ac:dyDescent="0.25">
      <c r="A65" s="1" t="s">
        <v>345</v>
      </c>
      <c r="B65" s="1" t="s">
        <v>31</v>
      </c>
      <c r="C65" s="1">
        <v>1913</v>
      </c>
      <c r="D65" s="1">
        <v>24</v>
      </c>
      <c r="E65" s="1">
        <v>27</v>
      </c>
      <c r="F65" s="1">
        <v>405</v>
      </c>
      <c r="G65" s="7">
        <v>1061.56</v>
      </c>
      <c r="H65" s="1" t="s">
        <v>12</v>
      </c>
      <c r="I65" s="1" t="s">
        <v>3</v>
      </c>
      <c r="J65" s="1" t="s">
        <v>18</v>
      </c>
      <c r="K65" s="1" t="s">
        <v>17</v>
      </c>
      <c r="L65" s="1" t="s">
        <v>0</v>
      </c>
    </row>
    <row r="66" spans="1:12" x14ac:dyDescent="0.25">
      <c r="A66" s="1" t="s">
        <v>344</v>
      </c>
      <c r="B66" s="1" t="s">
        <v>31</v>
      </c>
      <c r="C66" s="1">
        <v>2672</v>
      </c>
      <c r="D66" s="1">
        <v>45</v>
      </c>
      <c r="E66" s="1">
        <v>11</v>
      </c>
      <c r="F66" s="1">
        <v>444</v>
      </c>
      <c r="G66" s="7">
        <v>1747.1</v>
      </c>
      <c r="H66" s="1" t="s">
        <v>14</v>
      </c>
      <c r="I66" s="1" t="s">
        <v>13</v>
      </c>
      <c r="J66" s="1" t="s">
        <v>18</v>
      </c>
      <c r="K66" s="1" t="s">
        <v>21</v>
      </c>
      <c r="L66" s="1" t="s">
        <v>0</v>
      </c>
    </row>
    <row r="67" spans="1:12" x14ac:dyDescent="0.25">
      <c r="A67" s="1" t="s">
        <v>343</v>
      </c>
      <c r="B67" s="1" t="s">
        <v>31</v>
      </c>
      <c r="C67" s="1">
        <v>2670</v>
      </c>
      <c r="D67" s="1">
        <v>40</v>
      </c>
      <c r="E67" s="1">
        <v>-5</v>
      </c>
      <c r="F67" s="1">
        <v>250</v>
      </c>
      <c r="G67" s="7">
        <v>1572.16</v>
      </c>
      <c r="H67" s="1" t="s">
        <v>12</v>
      </c>
      <c r="I67" s="1" t="s">
        <v>13</v>
      </c>
      <c r="J67" s="1" t="s">
        <v>2</v>
      </c>
      <c r="K67" s="1" t="s">
        <v>17</v>
      </c>
      <c r="L67" s="1" t="s">
        <v>0</v>
      </c>
    </row>
    <row r="68" spans="1:12" x14ac:dyDescent="0.25">
      <c r="A68" s="1" t="s">
        <v>342</v>
      </c>
      <c r="B68" s="1" t="s">
        <v>31</v>
      </c>
      <c r="C68" s="1">
        <v>1082</v>
      </c>
      <c r="D68" s="1">
        <v>34</v>
      </c>
      <c r="E68" s="1">
        <v>23</v>
      </c>
      <c r="F68" s="1">
        <v>332</v>
      </c>
      <c r="G68" s="7">
        <v>1887.29</v>
      </c>
      <c r="H68" s="1" t="s">
        <v>19</v>
      </c>
      <c r="I68" s="1" t="s">
        <v>13</v>
      </c>
      <c r="J68" s="1" t="s">
        <v>18</v>
      </c>
      <c r="K68" s="1" t="s">
        <v>10</v>
      </c>
      <c r="L68" s="1" t="s">
        <v>0</v>
      </c>
    </row>
    <row r="69" spans="1:12" x14ac:dyDescent="0.25">
      <c r="A69" s="1" t="s">
        <v>341</v>
      </c>
      <c r="B69" s="1" t="s">
        <v>31</v>
      </c>
      <c r="C69" s="1">
        <v>864</v>
      </c>
      <c r="D69" s="1">
        <v>40</v>
      </c>
      <c r="E69" s="1">
        <v>13</v>
      </c>
      <c r="F69" s="1">
        <v>34</v>
      </c>
      <c r="G69" s="7">
        <v>552.51</v>
      </c>
      <c r="H69" s="1" t="s">
        <v>4</v>
      </c>
      <c r="I69" s="1" t="s">
        <v>13</v>
      </c>
      <c r="J69" s="1" t="s">
        <v>18</v>
      </c>
      <c r="K69" s="1" t="s">
        <v>7</v>
      </c>
      <c r="L69" s="1" t="s">
        <v>0</v>
      </c>
    </row>
    <row r="70" spans="1:12" x14ac:dyDescent="0.25">
      <c r="A70" s="1" t="s">
        <v>340</v>
      </c>
      <c r="B70" s="1" t="s">
        <v>31</v>
      </c>
      <c r="C70" s="1">
        <v>3179</v>
      </c>
      <c r="D70" s="1">
        <v>25</v>
      </c>
      <c r="E70" s="1">
        <v>38</v>
      </c>
      <c r="F70" s="1">
        <v>388</v>
      </c>
      <c r="G70" s="7">
        <v>769.65</v>
      </c>
      <c r="H70" s="1" t="s">
        <v>12</v>
      </c>
      <c r="I70" s="1" t="s">
        <v>3</v>
      </c>
      <c r="J70" s="1" t="s">
        <v>11</v>
      </c>
      <c r="K70" s="1" t="s">
        <v>7</v>
      </c>
      <c r="L70" s="1" t="s">
        <v>0</v>
      </c>
    </row>
    <row r="71" spans="1:12" x14ac:dyDescent="0.25">
      <c r="A71" s="1" t="s">
        <v>339</v>
      </c>
      <c r="B71" s="1" t="s">
        <v>31</v>
      </c>
      <c r="C71" s="1">
        <v>4974</v>
      </c>
      <c r="D71" s="1">
        <v>22</v>
      </c>
      <c r="E71" s="1">
        <v>18</v>
      </c>
      <c r="F71" s="1">
        <v>328</v>
      </c>
      <c r="G71" s="7">
        <v>859.42</v>
      </c>
      <c r="H71" s="1" t="s">
        <v>19</v>
      </c>
      <c r="I71" s="1" t="s">
        <v>3</v>
      </c>
      <c r="J71" s="1" t="s">
        <v>18</v>
      </c>
      <c r="K71" s="1" t="s">
        <v>10</v>
      </c>
      <c r="L71" s="1" t="s">
        <v>0</v>
      </c>
    </row>
    <row r="72" spans="1:12" x14ac:dyDescent="0.25">
      <c r="A72" s="1" t="s">
        <v>338</v>
      </c>
      <c r="B72" s="1" t="s">
        <v>31</v>
      </c>
      <c r="C72" s="1">
        <v>3837</v>
      </c>
      <c r="D72" s="1">
        <v>5</v>
      </c>
      <c r="E72" s="1">
        <v>44</v>
      </c>
      <c r="F72" s="1">
        <v>182</v>
      </c>
      <c r="G72" s="7">
        <v>1773.15</v>
      </c>
      <c r="H72" s="1" t="s">
        <v>4</v>
      </c>
      <c r="I72" s="1" t="s">
        <v>13</v>
      </c>
      <c r="J72" s="1" t="s">
        <v>18</v>
      </c>
      <c r="K72" s="1" t="s">
        <v>7</v>
      </c>
      <c r="L72" s="1" t="s">
        <v>0</v>
      </c>
    </row>
    <row r="73" spans="1:12" x14ac:dyDescent="0.25">
      <c r="A73" s="1" t="s">
        <v>337</v>
      </c>
      <c r="B73" s="1" t="s">
        <v>31</v>
      </c>
      <c r="C73" s="1">
        <v>1624</v>
      </c>
      <c r="D73" s="1">
        <v>24</v>
      </c>
      <c r="E73" s="1">
        <v>29</v>
      </c>
      <c r="F73" s="1">
        <v>76</v>
      </c>
      <c r="G73" s="7">
        <v>690.76</v>
      </c>
      <c r="H73" s="1" t="s">
        <v>14</v>
      </c>
      <c r="I73" s="1" t="s">
        <v>3</v>
      </c>
      <c r="J73" s="1" t="s">
        <v>18</v>
      </c>
      <c r="K73" s="1" t="s">
        <v>10</v>
      </c>
      <c r="L73" s="1" t="s">
        <v>0</v>
      </c>
    </row>
    <row r="74" spans="1:12" x14ac:dyDescent="0.25">
      <c r="A74" s="1" t="s">
        <v>336</v>
      </c>
      <c r="B74" s="1" t="s">
        <v>31</v>
      </c>
      <c r="C74" s="1">
        <v>4810</v>
      </c>
      <c r="D74" s="1">
        <v>5</v>
      </c>
      <c r="E74" s="1">
        <v>7</v>
      </c>
      <c r="F74" s="1">
        <v>365</v>
      </c>
      <c r="G74" s="7">
        <v>1108.1300000000001</v>
      </c>
      <c r="H74" s="1" t="s">
        <v>12</v>
      </c>
      <c r="I74" s="1" t="s">
        <v>13</v>
      </c>
      <c r="J74" s="1" t="s">
        <v>18</v>
      </c>
      <c r="K74" s="1" t="s">
        <v>10</v>
      </c>
      <c r="L74" s="1" t="s">
        <v>0</v>
      </c>
    </row>
    <row r="75" spans="1:12" x14ac:dyDescent="0.25">
      <c r="A75" s="1" t="s">
        <v>335</v>
      </c>
      <c r="B75" s="1" t="s">
        <v>31</v>
      </c>
      <c r="C75" s="1">
        <v>867</v>
      </c>
      <c r="D75" s="1">
        <v>8</v>
      </c>
      <c r="E75" s="1">
        <v>45</v>
      </c>
      <c r="F75" s="1">
        <v>340</v>
      </c>
      <c r="G75" s="7">
        <v>438.87</v>
      </c>
      <c r="H75" s="1" t="s">
        <v>4</v>
      </c>
      <c r="I75" s="1" t="s">
        <v>3</v>
      </c>
      <c r="J75" s="1" t="s">
        <v>18</v>
      </c>
      <c r="K75" s="1" t="s">
        <v>1</v>
      </c>
      <c r="L75" s="1" t="s">
        <v>0</v>
      </c>
    </row>
    <row r="76" spans="1:12" x14ac:dyDescent="0.25">
      <c r="A76" s="1" t="s">
        <v>334</v>
      </c>
      <c r="B76" s="1" t="s">
        <v>31</v>
      </c>
      <c r="C76" s="1">
        <v>1106</v>
      </c>
      <c r="D76" s="1">
        <v>26</v>
      </c>
      <c r="E76" s="1">
        <v>35</v>
      </c>
      <c r="F76" s="1">
        <v>205</v>
      </c>
      <c r="G76" s="7">
        <v>1146.1099999999999</v>
      </c>
      <c r="H76" s="1" t="s">
        <v>25</v>
      </c>
      <c r="I76" s="1" t="s">
        <v>13</v>
      </c>
      <c r="J76" s="1" t="s">
        <v>18</v>
      </c>
      <c r="K76" s="1" t="s">
        <v>10</v>
      </c>
      <c r="L76" s="1" t="s">
        <v>0</v>
      </c>
    </row>
    <row r="77" spans="1:12" x14ac:dyDescent="0.25">
      <c r="A77" s="1" t="s">
        <v>333</v>
      </c>
      <c r="B77" s="1" t="s">
        <v>31</v>
      </c>
      <c r="C77" s="1">
        <v>1361</v>
      </c>
      <c r="D77" s="1">
        <v>22</v>
      </c>
      <c r="E77" s="1">
        <v>1</v>
      </c>
      <c r="F77" s="1">
        <v>377</v>
      </c>
      <c r="G77" s="7">
        <v>642.74</v>
      </c>
      <c r="H77" s="1" t="s">
        <v>29</v>
      </c>
      <c r="I77" s="1" t="s">
        <v>13</v>
      </c>
      <c r="J77" s="1" t="s">
        <v>11</v>
      </c>
      <c r="K77" s="1" t="s">
        <v>1</v>
      </c>
      <c r="L77" s="1" t="s">
        <v>0</v>
      </c>
    </row>
    <row r="78" spans="1:12" x14ac:dyDescent="0.25">
      <c r="A78" s="1" t="s">
        <v>332</v>
      </c>
      <c r="B78" s="1" t="s">
        <v>31</v>
      </c>
      <c r="C78" s="1">
        <v>2887</v>
      </c>
      <c r="D78" s="1">
        <v>33</v>
      </c>
      <c r="E78" s="1">
        <v>-3</v>
      </c>
      <c r="F78" s="1">
        <v>384</v>
      </c>
      <c r="G78" s="7">
        <v>2386.2199999999998</v>
      </c>
      <c r="H78" s="1" t="s">
        <v>25</v>
      </c>
      <c r="I78" s="1" t="s">
        <v>13</v>
      </c>
      <c r="J78" s="1" t="s">
        <v>11</v>
      </c>
      <c r="K78" s="1" t="s">
        <v>1</v>
      </c>
      <c r="L78" s="1" t="s">
        <v>0</v>
      </c>
    </row>
    <row r="79" spans="1:12" x14ac:dyDescent="0.25">
      <c r="A79" s="1" t="s">
        <v>331</v>
      </c>
      <c r="B79" s="1" t="s">
        <v>31</v>
      </c>
      <c r="C79" s="1">
        <v>1048</v>
      </c>
      <c r="D79" s="1">
        <v>39</v>
      </c>
      <c r="E79" s="1">
        <v>41</v>
      </c>
      <c r="F79" s="1">
        <v>63</v>
      </c>
      <c r="G79" s="7">
        <v>1233.27</v>
      </c>
      <c r="H79" s="1" t="s">
        <v>19</v>
      </c>
      <c r="I79" s="1" t="s">
        <v>3</v>
      </c>
      <c r="J79" s="1" t="s">
        <v>8</v>
      </c>
      <c r="K79" s="1" t="s">
        <v>7</v>
      </c>
      <c r="L79" s="1" t="s">
        <v>0</v>
      </c>
    </row>
    <row r="80" spans="1:12" x14ac:dyDescent="0.25">
      <c r="A80" s="1" t="s">
        <v>330</v>
      </c>
      <c r="B80" s="1" t="s">
        <v>31</v>
      </c>
      <c r="C80" s="1">
        <v>1554</v>
      </c>
      <c r="D80" s="1">
        <v>27</v>
      </c>
      <c r="E80" s="1">
        <v>33</v>
      </c>
      <c r="F80" s="1">
        <v>301</v>
      </c>
      <c r="G80" s="7">
        <v>1383.21</v>
      </c>
      <c r="H80" s="1" t="s">
        <v>25</v>
      </c>
      <c r="I80" s="1" t="s">
        <v>13</v>
      </c>
      <c r="J80" s="1" t="s">
        <v>18</v>
      </c>
      <c r="K80" s="1" t="s">
        <v>15</v>
      </c>
      <c r="L80" s="1" t="s">
        <v>0</v>
      </c>
    </row>
    <row r="81" spans="1:12" x14ac:dyDescent="0.25">
      <c r="A81" s="1" t="s">
        <v>329</v>
      </c>
      <c r="B81" s="1" t="s">
        <v>31</v>
      </c>
      <c r="C81" s="1">
        <v>1501</v>
      </c>
      <c r="D81" s="1">
        <v>14</v>
      </c>
      <c r="E81" s="1">
        <v>35</v>
      </c>
      <c r="F81" s="1">
        <v>179</v>
      </c>
      <c r="G81" s="7">
        <v>72.91</v>
      </c>
      <c r="H81" s="1" t="s">
        <v>14</v>
      </c>
      <c r="I81" s="1" t="s">
        <v>3</v>
      </c>
      <c r="J81" s="1" t="s">
        <v>2</v>
      </c>
      <c r="K81" s="1" t="s">
        <v>10</v>
      </c>
      <c r="L81" s="1" t="s">
        <v>0</v>
      </c>
    </row>
    <row r="82" spans="1:12" x14ac:dyDescent="0.25">
      <c r="A82" s="1" t="s">
        <v>328</v>
      </c>
      <c r="B82" s="1" t="s">
        <v>31</v>
      </c>
      <c r="C82" s="1">
        <v>2557</v>
      </c>
      <c r="D82" s="1">
        <v>13</v>
      </c>
      <c r="E82" s="1">
        <v>40</v>
      </c>
      <c r="F82" s="1">
        <v>385</v>
      </c>
      <c r="G82" s="7">
        <v>1745.31</v>
      </c>
      <c r="H82" s="1" t="s">
        <v>14</v>
      </c>
      <c r="I82" s="1" t="s">
        <v>3</v>
      </c>
      <c r="J82" s="1" t="s">
        <v>18</v>
      </c>
      <c r="K82" s="1" t="s">
        <v>7</v>
      </c>
      <c r="L82" s="1" t="s">
        <v>0</v>
      </c>
    </row>
    <row r="83" spans="1:12" x14ac:dyDescent="0.25">
      <c r="A83" s="1" t="s">
        <v>327</v>
      </c>
      <c r="B83" s="1" t="s">
        <v>31</v>
      </c>
      <c r="C83" s="1">
        <v>1945</v>
      </c>
      <c r="D83" s="1">
        <v>43</v>
      </c>
      <c r="E83" s="1">
        <v>33</v>
      </c>
      <c r="F83" s="1">
        <v>444</v>
      </c>
      <c r="G83" s="7">
        <v>2031.97</v>
      </c>
      <c r="H83" s="1" t="s">
        <v>29</v>
      </c>
      <c r="I83" s="1" t="s">
        <v>13</v>
      </c>
      <c r="J83" s="1" t="s">
        <v>18</v>
      </c>
      <c r="K83" s="1" t="s">
        <v>17</v>
      </c>
      <c r="L83" s="1" t="s">
        <v>0</v>
      </c>
    </row>
    <row r="84" spans="1:12" x14ac:dyDescent="0.25">
      <c r="A84" s="1" t="s">
        <v>326</v>
      </c>
      <c r="B84" s="1" t="s">
        <v>31</v>
      </c>
      <c r="C84" s="1">
        <v>606</v>
      </c>
      <c r="D84" s="1">
        <v>24</v>
      </c>
      <c r="E84" s="1">
        <v>31</v>
      </c>
      <c r="F84" s="1">
        <v>180</v>
      </c>
      <c r="G84" s="7">
        <v>1031.1400000000001</v>
      </c>
      <c r="H84" s="1" t="s">
        <v>25</v>
      </c>
      <c r="I84" s="1" t="s">
        <v>13</v>
      </c>
      <c r="J84" s="1" t="s">
        <v>18</v>
      </c>
      <c r="K84" s="1" t="s">
        <v>7</v>
      </c>
      <c r="L84" s="1" t="s">
        <v>0</v>
      </c>
    </row>
    <row r="85" spans="1:12" x14ac:dyDescent="0.25">
      <c r="A85" s="1" t="s">
        <v>325</v>
      </c>
      <c r="B85" s="1" t="s">
        <v>31</v>
      </c>
      <c r="C85" s="1">
        <v>1985</v>
      </c>
      <c r="D85" s="1">
        <v>40</v>
      </c>
      <c r="E85" s="1">
        <v>0</v>
      </c>
      <c r="F85" s="1">
        <v>136</v>
      </c>
      <c r="G85" s="7">
        <v>1362.16</v>
      </c>
      <c r="H85" s="1" t="s">
        <v>25</v>
      </c>
      <c r="I85" s="1" t="s">
        <v>13</v>
      </c>
      <c r="J85" s="1" t="s">
        <v>18</v>
      </c>
      <c r="K85" s="1" t="s">
        <v>10</v>
      </c>
      <c r="L85" s="1" t="s">
        <v>0</v>
      </c>
    </row>
    <row r="86" spans="1:12" x14ac:dyDescent="0.25">
      <c r="A86" s="1" t="s">
        <v>324</v>
      </c>
      <c r="B86" s="1" t="s">
        <v>31</v>
      </c>
      <c r="C86" s="1">
        <v>1785</v>
      </c>
      <c r="D86" s="1">
        <v>24</v>
      </c>
      <c r="E86" s="1">
        <v>29</v>
      </c>
      <c r="F86" s="1">
        <v>427</v>
      </c>
      <c r="G86" s="7">
        <v>797.54</v>
      </c>
      <c r="H86" s="1" t="s">
        <v>12</v>
      </c>
      <c r="I86" s="1" t="s">
        <v>13</v>
      </c>
      <c r="J86" s="1" t="s">
        <v>18</v>
      </c>
      <c r="K86" s="1" t="s">
        <v>7</v>
      </c>
      <c r="L86" s="1" t="s">
        <v>0</v>
      </c>
    </row>
    <row r="87" spans="1:12" x14ac:dyDescent="0.25">
      <c r="A87" s="1" t="s">
        <v>323</v>
      </c>
      <c r="B87" s="1" t="s">
        <v>31</v>
      </c>
      <c r="C87" s="1">
        <v>622</v>
      </c>
      <c r="D87" s="1">
        <v>38</v>
      </c>
      <c r="E87" s="1">
        <v>25</v>
      </c>
      <c r="F87" s="1">
        <v>101</v>
      </c>
      <c r="G87" s="7">
        <v>285.18</v>
      </c>
      <c r="H87" s="1" t="s">
        <v>14</v>
      </c>
      <c r="I87" s="1" t="s">
        <v>13</v>
      </c>
      <c r="J87" s="1" t="s">
        <v>18</v>
      </c>
      <c r="K87" s="1" t="s">
        <v>7</v>
      </c>
      <c r="L87" s="1" t="s">
        <v>0</v>
      </c>
    </row>
    <row r="88" spans="1:12" x14ac:dyDescent="0.25">
      <c r="A88" s="1" t="s">
        <v>322</v>
      </c>
      <c r="B88" s="1" t="s">
        <v>31</v>
      </c>
      <c r="C88" s="1">
        <v>1617</v>
      </c>
      <c r="D88" s="1">
        <v>45</v>
      </c>
      <c r="E88" s="1">
        <v>23</v>
      </c>
      <c r="F88" s="1">
        <v>296</v>
      </c>
      <c r="G88" s="7">
        <v>1985.54</v>
      </c>
      <c r="H88" s="1" t="s">
        <v>4</v>
      </c>
      <c r="I88" s="1" t="s">
        <v>13</v>
      </c>
      <c r="J88" s="1" t="s">
        <v>18</v>
      </c>
      <c r="K88" s="1" t="s">
        <v>7</v>
      </c>
      <c r="L88" s="1" t="s">
        <v>0</v>
      </c>
    </row>
    <row r="89" spans="1:12" x14ac:dyDescent="0.25">
      <c r="A89" s="1" t="s">
        <v>321</v>
      </c>
      <c r="B89" s="1" t="s">
        <v>31</v>
      </c>
      <c r="C89" s="1">
        <v>1109</v>
      </c>
      <c r="D89" s="1">
        <v>42</v>
      </c>
      <c r="E89" s="1">
        <v>38</v>
      </c>
      <c r="F89" s="1">
        <v>225</v>
      </c>
      <c r="G89" s="7">
        <v>98.42</v>
      </c>
      <c r="H89" s="1" t="s">
        <v>12</v>
      </c>
      <c r="I89" s="1" t="s">
        <v>13</v>
      </c>
      <c r="J89" s="1" t="s">
        <v>18</v>
      </c>
      <c r="K89" s="1" t="s">
        <v>10</v>
      </c>
      <c r="L89" s="1" t="s">
        <v>0</v>
      </c>
    </row>
    <row r="90" spans="1:12" x14ac:dyDescent="0.25">
      <c r="A90" s="1" t="s">
        <v>320</v>
      </c>
      <c r="B90" s="1" t="s">
        <v>31</v>
      </c>
      <c r="C90" s="1">
        <v>3466</v>
      </c>
      <c r="D90" s="1">
        <v>27</v>
      </c>
      <c r="E90" s="1">
        <v>33</v>
      </c>
      <c r="F90" s="1">
        <v>362</v>
      </c>
      <c r="G90" s="7">
        <v>1694.7</v>
      </c>
      <c r="H90" s="1" t="s">
        <v>12</v>
      </c>
      <c r="I90" s="1" t="s">
        <v>3</v>
      </c>
      <c r="J90" s="1" t="s">
        <v>11</v>
      </c>
      <c r="K90" s="1" t="s">
        <v>10</v>
      </c>
      <c r="L90" s="1" t="s">
        <v>0</v>
      </c>
    </row>
    <row r="91" spans="1:12" x14ac:dyDescent="0.25">
      <c r="A91" s="1" t="s">
        <v>319</v>
      </c>
      <c r="B91" s="1" t="s">
        <v>31</v>
      </c>
      <c r="C91" s="1">
        <v>1677</v>
      </c>
      <c r="D91" s="1">
        <v>35</v>
      </c>
      <c r="E91" s="1">
        <v>-1</v>
      </c>
      <c r="F91" s="1">
        <v>85</v>
      </c>
      <c r="G91" s="7">
        <v>2381.09</v>
      </c>
      <c r="H91" s="1" t="s">
        <v>4</v>
      </c>
      <c r="I91" s="1" t="s">
        <v>13</v>
      </c>
      <c r="J91" s="1" t="s">
        <v>18</v>
      </c>
      <c r="K91" s="1" t="s">
        <v>7</v>
      </c>
      <c r="L91" s="1" t="s">
        <v>0</v>
      </c>
    </row>
    <row r="92" spans="1:12" x14ac:dyDescent="0.25">
      <c r="A92" s="1" t="s">
        <v>318</v>
      </c>
      <c r="B92" s="1" t="s">
        <v>27</v>
      </c>
      <c r="C92" s="1">
        <v>1727</v>
      </c>
      <c r="D92" s="1">
        <v>31</v>
      </c>
      <c r="E92" s="1">
        <v>9</v>
      </c>
      <c r="F92" s="1">
        <v>321</v>
      </c>
      <c r="G92" s="7">
        <v>2277.98</v>
      </c>
      <c r="H92" s="1" t="s">
        <v>4</v>
      </c>
      <c r="I92" s="1" t="s">
        <v>13</v>
      </c>
      <c r="J92" s="1" t="s">
        <v>18</v>
      </c>
      <c r="K92" s="1" t="s">
        <v>17</v>
      </c>
      <c r="L92" s="1" t="s">
        <v>0</v>
      </c>
    </row>
    <row r="93" spans="1:12" x14ac:dyDescent="0.25">
      <c r="A93" s="1" t="s">
        <v>317</v>
      </c>
      <c r="B93" s="1" t="s">
        <v>27</v>
      </c>
      <c r="C93" s="1">
        <v>3265</v>
      </c>
      <c r="D93" s="1">
        <v>20</v>
      </c>
      <c r="E93" s="1">
        <v>-4</v>
      </c>
      <c r="F93" s="1">
        <v>319</v>
      </c>
      <c r="G93" s="7">
        <v>91.18</v>
      </c>
      <c r="H93" s="1" t="s">
        <v>12</v>
      </c>
      <c r="I93" s="1" t="s">
        <v>13</v>
      </c>
      <c r="J93" s="1" t="s">
        <v>11</v>
      </c>
      <c r="K93" s="1" t="s">
        <v>17</v>
      </c>
      <c r="L93" s="1" t="s">
        <v>0</v>
      </c>
    </row>
    <row r="94" spans="1:12" x14ac:dyDescent="0.25">
      <c r="A94" s="1" t="s">
        <v>316</v>
      </c>
      <c r="B94" s="1" t="s">
        <v>27</v>
      </c>
      <c r="C94" s="1">
        <v>4191</v>
      </c>
      <c r="D94" s="1">
        <v>19</v>
      </c>
      <c r="E94" s="1">
        <v>-1</v>
      </c>
      <c r="F94" s="1">
        <v>235</v>
      </c>
      <c r="G94" s="7">
        <v>2159.61</v>
      </c>
      <c r="H94" s="1" t="s">
        <v>19</v>
      </c>
      <c r="I94" s="1" t="s">
        <v>3</v>
      </c>
      <c r="J94" s="1" t="s">
        <v>18</v>
      </c>
      <c r="K94" s="1" t="s">
        <v>7</v>
      </c>
      <c r="L94" s="1" t="s">
        <v>0</v>
      </c>
    </row>
    <row r="95" spans="1:12" x14ac:dyDescent="0.25">
      <c r="A95" s="1" t="s">
        <v>315</v>
      </c>
      <c r="B95" s="1" t="s">
        <v>27</v>
      </c>
      <c r="C95" s="1">
        <v>2726</v>
      </c>
      <c r="D95" s="1">
        <v>35</v>
      </c>
      <c r="E95" s="1">
        <v>48</v>
      </c>
      <c r="F95" s="1">
        <v>399</v>
      </c>
      <c r="G95" s="7">
        <v>314.06</v>
      </c>
      <c r="H95" s="1" t="s">
        <v>12</v>
      </c>
      <c r="I95" s="1" t="s">
        <v>13</v>
      </c>
      <c r="J95" s="1" t="s">
        <v>18</v>
      </c>
      <c r="K95" s="1" t="s">
        <v>21</v>
      </c>
      <c r="L95" s="1" t="s">
        <v>0</v>
      </c>
    </row>
    <row r="96" spans="1:12" x14ac:dyDescent="0.25">
      <c r="A96" s="1" t="s">
        <v>314</v>
      </c>
      <c r="B96" s="1" t="s">
        <v>27</v>
      </c>
      <c r="C96" s="1">
        <v>2077</v>
      </c>
      <c r="D96" s="1">
        <v>24</v>
      </c>
      <c r="E96" s="1">
        <v>50</v>
      </c>
      <c r="F96" s="1">
        <v>20</v>
      </c>
      <c r="G96" s="7">
        <v>1560.44</v>
      </c>
      <c r="H96" s="1" t="s">
        <v>14</v>
      </c>
      <c r="I96" s="1" t="s">
        <v>13</v>
      </c>
      <c r="J96" s="1" t="s">
        <v>18</v>
      </c>
      <c r="K96" s="1" t="s">
        <v>10</v>
      </c>
      <c r="L96" s="1" t="s">
        <v>0</v>
      </c>
    </row>
    <row r="97" spans="1:12" x14ac:dyDescent="0.25">
      <c r="A97" s="1" t="s">
        <v>313</v>
      </c>
      <c r="B97" s="1" t="s">
        <v>27</v>
      </c>
      <c r="C97" s="1">
        <v>4447</v>
      </c>
      <c r="D97" s="1">
        <v>10</v>
      </c>
      <c r="E97" s="1">
        <v>-2</v>
      </c>
      <c r="F97" s="1">
        <v>225</v>
      </c>
      <c r="G97" s="7">
        <v>1457.28</v>
      </c>
      <c r="H97" s="1" t="s">
        <v>14</v>
      </c>
      <c r="I97" s="1" t="s">
        <v>13</v>
      </c>
      <c r="J97" s="1" t="s">
        <v>18</v>
      </c>
      <c r="K97" s="1" t="s">
        <v>7</v>
      </c>
      <c r="L97" s="1" t="s">
        <v>0</v>
      </c>
    </row>
    <row r="98" spans="1:12" x14ac:dyDescent="0.25">
      <c r="A98" s="1" t="s">
        <v>312</v>
      </c>
      <c r="B98" s="1" t="s">
        <v>27</v>
      </c>
      <c r="C98" s="1">
        <v>2541</v>
      </c>
      <c r="D98" s="1">
        <v>6</v>
      </c>
      <c r="E98" s="1">
        <v>30</v>
      </c>
      <c r="F98" s="1">
        <v>230</v>
      </c>
      <c r="G98" s="7">
        <v>1252.08</v>
      </c>
      <c r="H98" s="1" t="s">
        <v>25</v>
      </c>
      <c r="I98" s="1" t="s">
        <v>13</v>
      </c>
      <c r="J98" s="1" t="s">
        <v>2</v>
      </c>
      <c r="K98" s="1" t="s">
        <v>10</v>
      </c>
      <c r="L98" s="1" t="s">
        <v>0</v>
      </c>
    </row>
    <row r="99" spans="1:12" x14ac:dyDescent="0.25">
      <c r="A99" s="1" t="s">
        <v>311</v>
      </c>
      <c r="B99" s="1" t="s">
        <v>27</v>
      </c>
      <c r="C99" s="1">
        <v>2249</v>
      </c>
      <c r="D99" s="1">
        <v>42</v>
      </c>
      <c r="E99" s="1">
        <v>4</v>
      </c>
      <c r="F99" s="1">
        <v>174</v>
      </c>
      <c r="G99" s="7">
        <v>1423.34</v>
      </c>
      <c r="H99" s="1" t="s">
        <v>4</v>
      </c>
      <c r="I99" s="1" t="s">
        <v>3</v>
      </c>
      <c r="J99" s="1" t="s">
        <v>11</v>
      </c>
      <c r="K99" s="1" t="s">
        <v>17</v>
      </c>
      <c r="L99" s="1" t="s">
        <v>0</v>
      </c>
    </row>
    <row r="100" spans="1:12" x14ac:dyDescent="0.25">
      <c r="A100" s="1" t="s">
        <v>310</v>
      </c>
      <c r="B100" s="1" t="s">
        <v>27</v>
      </c>
      <c r="C100" s="1">
        <v>2505</v>
      </c>
      <c r="D100" s="1">
        <v>13</v>
      </c>
      <c r="E100" s="1">
        <v>22</v>
      </c>
      <c r="F100" s="1">
        <v>278</v>
      </c>
      <c r="G100" s="7">
        <v>734.9</v>
      </c>
      <c r="H100" s="1" t="s">
        <v>14</v>
      </c>
      <c r="I100" s="1" t="s">
        <v>13</v>
      </c>
      <c r="J100" s="1" t="s">
        <v>2</v>
      </c>
      <c r="K100" s="1" t="s">
        <v>7</v>
      </c>
      <c r="L100" s="1" t="s">
        <v>0</v>
      </c>
    </row>
    <row r="101" spans="1:12" x14ac:dyDescent="0.25">
      <c r="A101" s="1" t="s">
        <v>309</v>
      </c>
      <c r="B101" s="1" t="s">
        <v>27</v>
      </c>
      <c r="C101" s="1">
        <v>4596</v>
      </c>
      <c r="D101" s="1">
        <v>31</v>
      </c>
      <c r="E101" s="1">
        <v>11</v>
      </c>
      <c r="F101" s="1">
        <v>431</v>
      </c>
      <c r="G101" s="7">
        <v>145.55000000000001</v>
      </c>
      <c r="H101" s="1" t="s">
        <v>12</v>
      </c>
      <c r="I101" s="1" t="s">
        <v>13</v>
      </c>
      <c r="J101" s="1" t="s">
        <v>11</v>
      </c>
      <c r="K101" s="1" t="s">
        <v>1</v>
      </c>
      <c r="L101" s="1" t="s">
        <v>0</v>
      </c>
    </row>
    <row r="102" spans="1:12" x14ac:dyDescent="0.25">
      <c r="A102" s="1" t="s">
        <v>308</v>
      </c>
      <c r="B102" s="1" t="s">
        <v>27</v>
      </c>
      <c r="C102" s="1">
        <v>2556</v>
      </c>
      <c r="D102" s="1">
        <v>9</v>
      </c>
      <c r="E102" s="1">
        <v>19</v>
      </c>
      <c r="F102" s="1">
        <v>358</v>
      </c>
      <c r="G102" s="7">
        <v>133.6</v>
      </c>
      <c r="H102" s="1" t="s">
        <v>29</v>
      </c>
      <c r="I102" s="1" t="s">
        <v>13</v>
      </c>
      <c r="J102" s="1" t="s">
        <v>18</v>
      </c>
      <c r="K102" s="1" t="s">
        <v>7</v>
      </c>
      <c r="L102" s="1" t="s">
        <v>0</v>
      </c>
    </row>
    <row r="103" spans="1:12" x14ac:dyDescent="0.25">
      <c r="A103" s="1" t="s">
        <v>307</v>
      </c>
      <c r="B103" s="1" t="s">
        <v>27</v>
      </c>
      <c r="C103" s="1">
        <v>4167</v>
      </c>
      <c r="D103" s="1">
        <v>31</v>
      </c>
      <c r="E103" s="1">
        <v>28</v>
      </c>
      <c r="F103" s="1">
        <v>23</v>
      </c>
      <c r="G103" s="7">
        <v>666.25</v>
      </c>
      <c r="H103" s="1" t="s">
        <v>14</v>
      </c>
      <c r="I103" s="1" t="s">
        <v>13</v>
      </c>
      <c r="J103" s="1" t="s">
        <v>11</v>
      </c>
      <c r="K103" s="1" t="s">
        <v>1</v>
      </c>
      <c r="L103" s="1" t="s">
        <v>0</v>
      </c>
    </row>
    <row r="104" spans="1:12" x14ac:dyDescent="0.25">
      <c r="A104" s="1" t="s">
        <v>306</v>
      </c>
      <c r="B104" s="1" t="s">
        <v>27</v>
      </c>
      <c r="C104" s="1">
        <v>3492</v>
      </c>
      <c r="D104" s="1">
        <v>31</v>
      </c>
      <c r="E104" s="1">
        <v>3</v>
      </c>
      <c r="F104" s="1">
        <v>393</v>
      </c>
      <c r="G104" s="7">
        <v>688</v>
      </c>
      <c r="H104" s="1" t="s">
        <v>14</v>
      </c>
      <c r="I104" s="1" t="s">
        <v>13</v>
      </c>
      <c r="J104" s="1" t="s">
        <v>18</v>
      </c>
      <c r="K104" s="1" t="s">
        <v>17</v>
      </c>
      <c r="L104" s="1" t="s">
        <v>0</v>
      </c>
    </row>
    <row r="105" spans="1:12" x14ac:dyDescent="0.25">
      <c r="A105" s="1" t="s">
        <v>305</v>
      </c>
      <c r="B105" s="1" t="s">
        <v>27</v>
      </c>
      <c r="C105" s="1">
        <v>3375</v>
      </c>
      <c r="D105" s="1">
        <v>35</v>
      </c>
      <c r="E105" s="1">
        <v>45</v>
      </c>
      <c r="F105" s="1">
        <v>164</v>
      </c>
      <c r="G105" s="7">
        <v>644.39</v>
      </c>
      <c r="H105" s="1" t="s">
        <v>14</v>
      </c>
      <c r="I105" s="1" t="s">
        <v>13</v>
      </c>
      <c r="J105" s="1" t="s">
        <v>11</v>
      </c>
      <c r="K105" s="1" t="s">
        <v>1</v>
      </c>
      <c r="L105" s="1" t="s">
        <v>0</v>
      </c>
    </row>
    <row r="106" spans="1:12" x14ac:dyDescent="0.25">
      <c r="A106" s="1" t="s">
        <v>304</v>
      </c>
      <c r="B106" s="1" t="s">
        <v>27</v>
      </c>
      <c r="C106" s="1">
        <v>1514</v>
      </c>
      <c r="D106" s="1">
        <v>30</v>
      </c>
      <c r="E106" s="1">
        <v>45</v>
      </c>
      <c r="F106" s="1">
        <v>414</v>
      </c>
      <c r="G106" s="7">
        <v>1357.74</v>
      </c>
      <c r="H106" s="1" t="s">
        <v>12</v>
      </c>
      <c r="I106" s="1" t="s">
        <v>13</v>
      </c>
      <c r="J106" s="1" t="s">
        <v>18</v>
      </c>
      <c r="K106" s="1" t="s">
        <v>7</v>
      </c>
      <c r="L106" s="1" t="s">
        <v>0</v>
      </c>
    </row>
    <row r="107" spans="1:12" x14ac:dyDescent="0.25">
      <c r="A107" s="1" t="s">
        <v>303</v>
      </c>
      <c r="B107" s="1" t="s">
        <v>27</v>
      </c>
      <c r="C107" s="1">
        <v>3184</v>
      </c>
      <c r="D107" s="1">
        <v>37</v>
      </c>
      <c r="E107" s="1">
        <v>21</v>
      </c>
      <c r="F107" s="1">
        <v>22</v>
      </c>
      <c r="G107" s="7">
        <v>771.84</v>
      </c>
      <c r="H107" s="1" t="s">
        <v>14</v>
      </c>
      <c r="I107" s="1" t="s">
        <v>13</v>
      </c>
      <c r="J107" s="1" t="s">
        <v>2</v>
      </c>
      <c r="K107" s="1" t="s">
        <v>1</v>
      </c>
      <c r="L107" s="1" t="s">
        <v>0</v>
      </c>
    </row>
    <row r="108" spans="1:12" x14ac:dyDescent="0.25">
      <c r="A108" s="1" t="s">
        <v>302</v>
      </c>
      <c r="B108" s="1" t="s">
        <v>27</v>
      </c>
      <c r="C108" s="1">
        <v>2543</v>
      </c>
      <c r="D108" s="1">
        <v>35</v>
      </c>
      <c r="E108" s="1">
        <v>41</v>
      </c>
      <c r="F108" s="1">
        <v>390</v>
      </c>
      <c r="G108" s="7">
        <v>1829.59</v>
      </c>
      <c r="H108" s="1" t="s">
        <v>14</v>
      </c>
      <c r="I108" s="1" t="s">
        <v>3</v>
      </c>
      <c r="J108" s="1" t="s">
        <v>18</v>
      </c>
      <c r="K108" s="1" t="s">
        <v>7</v>
      </c>
      <c r="L108" s="1" t="s">
        <v>0</v>
      </c>
    </row>
    <row r="109" spans="1:12" x14ac:dyDescent="0.25">
      <c r="A109" s="1" t="s">
        <v>301</v>
      </c>
      <c r="B109" s="1" t="s">
        <v>27</v>
      </c>
      <c r="C109" s="1">
        <v>4920</v>
      </c>
      <c r="D109" s="1">
        <v>5</v>
      </c>
      <c r="E109" s="1">
        <v>10</v>
      </c>
      <c r="F109" s="1">
        <v>170</v>
      </c>
      <c r="G109" s="7">
        <v>1986.18</v>
      </c>
      <c r="H109" s="1" t="s">
        <v>12</v>
      </c>
      <c r="I109" s="1" t="s">
        <v>3</v>
      </c>
      <c r="J109" s="1" t="s">
        <v>18</v>
      </c>
      <c r="K109" s="1" t="s">
        <v>10</v>
      </c>
      <c r="L109" s="1" t="s">
        <v>0</v>
      </c>
    </row>
    <row r="110" spans="1:12" x14ac:dyDescent="0.25">
      <c r="A110" s="1" t="s">
        <v>300</v>
      </c>
      <c r="B110" s="1" t="s">
        <v>27</v>
      </c>
      <c r="C110" s="1">
        <v>4632</v>
      </c>
      <c r="D110" s="1">
        <v>44</v>
      </c>
      <c r="E110" s="1">
        <v>5</v>
      </c>
      <c r="F110" s="1">
        <v>388</v>
      </c>
      <c r="G110" s="7">
        <v>1049.83</v>
      </c>
      <c r="H110" s="1" t="s">
        <v>12</v>
      </c>
      <c r="I110" s="1" t="s">
        <v>3</v>
      </c>
      <c r="J110" s="1" t="s">
        <v>18</v>
      </c>
      <c r="K110" s="1" t="s">
        <v>1</v>
      </c>
      <c r="L110" s="1" t="s">
        <v>0</v>
      </c>
    </row>
    <row r="111" spans="1:12" x14ac:dyDescent="0.25">
      <c r="A111" s="1" t="s">
        <v>299</v>
      </c>
      <c r="B111" s="1" t="s">
        <v>27</v>
      </c>
      <c r="C111" s="1">
        <v>4682</v>
      </c>
      <c r="D111" s="1">
        <v>45</v>
      </c>
      <c r="E111" s="1">
        <v>12</v>
      </c>
      <c r="F111" s="1">
        <v>192</v>
      </c>
      <c r="G111" s="7">
        <v>1868.35</v>
      </c>
      <c r="H111" s="1" t="s">
        <v>4</v>
      </c>
      <c r="I111" s="1" t="s">
        <v>3</v>
      </c>
      <c r="J111" s="1" t="s">
        <v>18</v>
      </c>
      <c r="K111" s="1" t="s">
        <v>17</v>
      </c>
      <c r="L111" s="1" t="s">
        <v>0</v>
      </c>
    </row>
    <row r="112" spans="1:12" x14ac:dyDescent="0.25">
      <c r="A112" s="1" t="s">
        <v>298</v>
      </c>
      <c r="B112" s="1" t="s">
        <v>27</v>
      </c>
      <c r="C112" s="1">
        <v>779</v>
      </c>
      <c r="D112" s="1">
        <v>20</v>
      </c>
      <c r="E112" s="1">
        <v>4</v>
      </c>
      <c r="F112" s="1">
        <v>191</v>
      </c>
      <c r="G112" s="7">
        <v>683.14</v>
      </c>
      <c r="H112" s="1" t="s">
        <v>25</v>
      </c>
      <c r="I112" s="1" t="s">
        <v>13</v>
      </c>
      <c r="J112" s="1" t="s">
        <v>2</v>
      </c>
      <c r="K112" s="1" t="s">
        <v>17</v>
      </c>
      <c r="L112" s="1" t="s">
        <v>0</v>
      </c>
    </row>
    <row r="113" spans="1:12" x14ac:dyDescent="0.25">
      <c r="A113" s="1" t="s">
        <v>297</v>
      </c>
      <c r="B113" s="1" t="s">
        <v>27</v>
      </c>
      <c r="C113" s="1">
        <v>1171</v>
      </c>
      <c r="D113" s="1">
        <v>31</v>
      </c>
      <c r="E113" s="1">
        <v>42</v>
      </c>
      <c r="F113" s="1">
        <v>324</v>
      </c>
      <c r="G113" s="7">
        <v>375.07</v>
      </c>
      <c r="H113" s="1" t="s">
        <v>12</v>
      </c>
      <c r="I113" s="1" t="s">
        <v>13</v>
      </c>
      <c r="J113" s="1" t="s">
        <v>18</v>
      </c>
      <c r="K113" s="1" t="s">
        <v>7</v>
      </c>
      <c r="L113" s="1" t="s">
        <v>0</v>
      </c>
    </row>
    <row r="114" spans="1:12" x14ac:dyDescent="0.25">
      <c r="A114" s="1" t="s">
        <v>296</v>
      </c>
      <c r="B114" s="1" t="s">
        <v>27</v>
      </c>
      <c r="C114" s="1">
        <v>2645</v>
      </c>
      <c r="D114" s="1">
        <v>39</v>
      </c>
      <c r="E114" s="1">
        <v>-2</v>
      </c>
      <c r="F114" s="1">
        <v>300</v>
      </c>
      <c r="G114" s="7">
        <v>1459.49</v>
      </c>
      <c r="H114" s="1" t="s">
        <v>14</v>
      </c>
      <c r="I114" s="1" t="s">
        <v>13</v>
      </c>
      <c r="J114" s="1" t="s">
        <v>18</v>
      </c>
      <c r="K114" s="1" t="s">
        <v>10</v>
      </c>
      <c r="L114" s="1" t="s">
        <v>0</v>
      </c>
    </row>
    <row r="115" spans="1:12" x14ac:dyDescent="0.25">
      <c r="A115" s="1" t="s">
        <v>295</v>
      </c>
      <c r="B115" s="1" t="s">
        <v>27</v>
      </c>
      <c r="C115" s="1">
        <v>4075</v>
      </c>
      <c r="D115" s="1">
        <v>13</v>
      </c>
      <c r="E115" s="1">
        <v>42</v>
      </c>
      <c r="F115" s="1">
        <v>410</v>
      </c>
      <c r="G115" s="7">
        <v>1369.59</v>
      </c>
      <c r="H115" s="1" t="s">
        <v>19</v>
      </c>
      <c r="I115" s="1" t="s">
        <v>3</v>
      </c>
      <c r="J115" s="1" t="s">
        <v>18</v>
      </c>
      <c r="K115" s="1" t="s">
        <v>21</v>
      </c>
      <c r="L115" s="1" t="s">
        <v>0</v>
      </c>
    </row>
    <row r="116" spans="1:12" x14ac:dyDescent="0.25">
      <c r="A116" s="1" t="s">
        <v>294</v>
      </c>
      <c r="B116" s="1" t="s">
        <v>27</v>
      </c>
      <c r="C116" s="1">
        <v>1572</v>
      </c>
      <c r="D116" s="1">
        <v>39</v>
      </c>
      <c r="E116" s="1">
        <v>15</v>
      </c>
      <c r="F116" s="1">
        <v>29</v>
      </c>
      <c r="G116" s="7">
        <v>1267.27</v>
      </c>
      <c r="H116" s="1" t="s">
        <v>14</v>
      </c>
      <c r="I116" s="1" t="s">
        <v>13</v>
      </c>
      <c r="J116" s="1" t="s">
        <v>18</v>
      </c>
      <c r="K116" s="1" t="s">
        <v>7</v>
      </c>
      <c r="L116" s="1" t="s">
        <v>0</v>
      </c>
    </row>
    <row r="117" spans="1:12" x14ac:dyDescent="0.25">
      <c r="A117" s="1" t="s">
        <v>293</v>
      </c>
      <c r="B117" s="1" t="s">
        <v>27</v>
      </c>
      <c r="C117" s="1">
        <v>4284</v>
      </c>
      <c r="D117" s="1">
        <v>20</v>
      </c>
      <c r="E117" s="1">
        <v>18</v>
      </c>
      <c r="F117" s="1">
        <v>412</v>
      </c>
      <c r="G117" s="7">
        <v>105.4</v>
      </c>
      <c r="H117" s="1" t="s">
        <v>19</v>
      </c>
      <c r="I117" s="1" t="s">
        <v>3</v>
      </c>
      <c r="J117" s="1" t="s">
        <v>11</v>
      </c>
      <c r="K117" s="1" t="s">
        <v>7</v>
      </c>
      <c r="L117" s="1" t="s">
        <v>0</v>
      </c>
    </row>
    <row r="118" spans="1:12" x14ac:dyDescent="0.25">
      <c r="A118" s="1" t="s">
        <v>292</v>
      </c>
      <c r="B118" s="1" t="s">
        <v>27</v>
      </c>
      <c r="C118" s="1">
        <v>524</v>
      </c>
      <c r="D118" s="1">
        <v>5</v>
      </c>
      <c r="E118" s="1">
        <v>22</v>
      </c>
      <c r="F118" s="1">
        <v>324</v>
      </c>
      <c r="G118" s="7">
        <v>1127.05</v>
      </c>
      <c r="H118" s="1" t="s">
        <v>14</v>
      </c>
      <c r="I118" s="1" t="s">
        <v>13</v>
      </c>
      <c r="J118" s="1" t="s">
        <v>11</v>
      </c>
      <c r="K118" s="1" t="s">
        <v>7</v>
      </c>
      <c r="L118" s="1" t="s">
        <v>0</v>
      </c>
    </row>
    <row r="119" spans="1:12" x14ac:dyDescent="0.25">
      <c r="A119" s="1" t="s">
        <v>291</v>
      </c>
      <c r="B119" s="1" t="s">
        <v>27</v>
      </c>
      <c r="C119" s="1">
        <v>2590</v>
      </c>
      <c r="D119" s="1">
        <v>36</v>
      </c>
      <c r="E119" s="1">
        <v>-2</v>
      </c>
      <c r="F119" s="1">
        <v>192</v>
      </c>
      <c r="G119" s="7">
        <v>1327.14</v>
      </c>
      <c r="H119" s="1" t="s">
        <v>12</v>
      </c>
      <c r="I119" s="1" t="s">
        <v>13</v>
      </c>
      <c r="J119" s="1" t="s">
        <v>11</v>
      </c>
      <c r="K119" s="1" t="s">
        <v>10</v>
      </c>
      <c r="L119" s="1" t="s">
        <v>0</v>
      </c>
    </row>
    <row r="120" spans="1:12" x14ac:dyDescent="0.25">
      <c r="A120" s="1" t="s">
        <v>290</v>
      </c>
      <c r="B120" s="1" t="s">
        <v>27</v>
      </c>
      <c r="C120" s="1">
        <v>4253</v>
      </c>
      <c r="D120" s="1">
        <v>41</v>
      </c>
      <c r="E120" s="1">
        <v>28</v>
      </c>
      <c r="F120" s="1">
        <v>72</v>
      </c>
      <c r="G120" s="7">
        <v>729.82</v>
      </c>
      <c r="H120" s="1" t="s">
        <v>19</v>
      </c>
      <c r="I120" s="1" t="s">
        <v>13</v>
      </c>
      <c r="J120" s="1" t="s">
        <v>18</v>
      </c>
      <c r="K120" s="1" t="s">
        <v>7</v>
      </c>
      <c r="L120" s="1" t="s">
        <v>0</v>
      </c>
    </row>
    <row r="121" spans="1:12" x14ac:dyDescent="0.25">
      <c r="A121" s="1" t="s">
        <v>289</v>
      </c>
      <c r="B121" s="1" t="s">
        <v>27</v>
      </c>
      <c r="C121" s="1">
        <v>4117</v>
      </c>
      <c r="D121" s="1">
        <v>24</v>
      </c>
      <c r="E121" s="1">
        <v>28</v>
      </c>
      <c r="F121" s="1">
        <v>145</v>
      </c>
      <c r="G121" s="7">
        <v>1438.94</v>
      </c>
      <c r="H121" s="1" t="s">
        <v>4</v>
      </c>
      <c r="I121" s="1" t="s">
        <v>3</v>
      </c>
      <c r="J121" s="1" t="s">
        <v>18</v>
      </c>
      <c r="K121" s="1" t="s">
        <v>1</v>
      </c>
      <c r="L121" s="1" t="s">
        <v>0</v>
      </c>
    </row>
    <row r="122" spans="1:12" x14ac:dyDescent="0.25">
      <c r="A122" s="1" t="s">
        <v>288</v>
      </c>
      <c r="B122" s="1" t="s">
        <v>23</v>
      </c>
      <c r="C122" s="1">
        <v>4920</v>
      </c>
      <c r="D122" s="1">
        <v>43</v>
      </c>
      <c r="E122" s="1">
        <v>44</v>
      </c>
      <c r="F122" s="1">
        <v>369</v>
      </c>
      <c r="G122" s="7">
        <v>8.65</v>
      </c>
      <c r="H122" s="1" t="s">
        <v>14</v>
      </c>
      <c r="I122" s="1" t="s">
        <v>3</v>
      </c>
      <c r="J122" s="1" t="s">
        <v>18</v>
      </c>
      <c r="K122" s="1" t="s">
        <v>10</v>
      </c>
      <c r="L122" s="1" t="s">
        <v>209</v>
      </c>
    </row>
    <row r="123" spans="1:12" x14ac:dyDescent="0.25">
      <c r="A123" s="1" t="s">
        <v>287</v>
      </c>
      <c r="B123" s="1" t="s">
        <v>23</v>
      </c>
      <c r="C123" s="1">
        <v>1994</v>
      </c>
      <c r="D123" s="1">
        <v>43</v>
      </c>
      <c r="E123" s="1">
        <v>10</v>
      </c>
      <c r="F123" s="1">
        <v>413</v>
      </c>
      <c r="G123" s="7">
        <v>723.57</v>
      </c>
      <c r="H123" s="1" t="s">
        <v>4</v>
      </c>
      <c r="I123" s="1" t="s">
        <v>3</v>
      </c>
      <c r="J123" s="1" t="s">
        <v>18</v>
      </c>
      <c r="K123" s="1" t="s">
        <v>7</v>
      </c>
      <c r="L123" s="1" t="s">
        <v>209</v>
      </c>
    </row>
    <row r="124" spans="1:12" x14ac:dyDescent="0.25">
      <c r="A124" s="1" t="s">
        <v>286</v>
      </c>
      <c r="B124" s="1" t="s">
        <v>23</v>
      </c>
      <c r="C124" s="1">
        <v>794</v>
      </c>
      <c r="D124" s="1">
        <v>41</v>
      </c>
      <c r="E124" s="1">
        <v>41</v>
      </c>
      <c r="F124" s="1">
        <v>231</v>
      </c>
      <c r="G124" s="7">
        <v>1208.01</v>
      </c>
      <c r="H124" s="1" t="s">
        <v>19</v>
      </c>
      <c r="I124" s="1" t="s">
        <v>3</v>
      </c>
      <c r="J124" s="1" t="s">
        <v>18</v>
      </c>
      <c r="K124" s="1" t="s">
        <v>17</v>
      </c>
      <c r="L124" s="1" t="s">
        <v>209</v>
      </c>
    </row>
    <row r="125" spans="1:12" x14ac:dyDescent="0.25">
      <c r="A125" s="1" t="s">
        <v>285</v>
      </c>
      <c r="B125" s="1" t="s">
        <v>23</v>
      </c>
      <c r="C125" s="1">
        <v>3915</v>
      </c>
      <c r="D125" s="1">
        <v>17</v>
      </c>
      <c r="E125" s="1">
        <v>43</v>
      </c>
      <c r="F125" s="1">
        <v>304</v>
      </c>
      <c r="G125" s="7">
        <v>1819.6</v>
      </c>
      <c r="H125" s="1" t="s">
        <v>4</v>
      </c>
      <c r="I125" s="1" t="s">
        <v>13</v>
      </c>
      <c r="J125" s="1" t="s">
        <v>18</v>
      </c>
      <c r="K125" s="1" t="s">
        <v>10</v>
      </c>
      <c r="L125" s="1" t="s">
        <v>209</v>
      </c>
    </row>
    <row r="126" spans="1:12" x14ac:dyDescent="0.25">
      <c r="A126" s="1" t="s">
        <v>284</v>
      </c>
      <c r="B126" s="1" t="s">
        <v>23</v>
      </c>
      <c r="C126" s="1">
        <v>1424</v>
      </c>
      <c r="D126" s="1">
        <v>3</v>
      </c>
      <c r="E126" s="1">
        <v>6</v>
      </c>
      <c r="F126" s="1">
        <v>288</v>
      </c>
      <c r="G126" s="7">
        <v>2115.58</v>
      </c>
      <c r="H126" s="1" t="s">
        <v>12</v>
      </c>
      <c r="I126" s="1" t="s">
        <v>13</v>
      </c>
      <c r="J126" s="1" t="s">
        <v>11</v>
      </c>
      <c r="K126" s="1" t="s">
        <v>7</v>
      </c>
      <c r="L126" s="1" t="s">
        <v>209</v>
      </c>
    </row>
    <row r="127" spans="1:12" x14ac:dyDescent="0.25">
      <c r="A127" s="1" t="s">
        <v>283</v>
      </c>
      <c r="B127" s="1" t="s">
        <v>23</v>
      </c>
      <c r="C127" s="1">
        <v>1545</v>
      </c>
      <c r="D127" s="1">
        <v>33</v>
      </c>
      <c r="E127" s="1">
        <v>1</v>
      </c>
      <c r="F127" s="1">
        <v>215</v>
      </c>
      <c r="G127" s="7">
        <v>1915.41</v>
      </c>
      <c r="H127" s="1" t="s">
        <v>14</v>
      </c>
      <c r="I127" s="1" t="s">
        <v>13</v>
      </c>
      <c r="J127" s="1" t="s">
        <v>18</v>
      </c>
      <c r="K127" s="1" t="s">
        <v>7</v>
      </c>
      <c r="L127" s="1" t="s">
        <v>209</v>
      </c>
    </row>
    <row r="128" spans="1:12" x14ac:dyDescent="0.25">
      <c r="A128" s="1" t="s">
        <v>282</v>
      </c>
      <c r="B128" s="1" t="s">
        <v>23</v>
      </c>
      <c r="C128" s="1">
        <v>3372</v>
      </c>
      <c r="D128" s="1">
        <v>22</v>
      </c>
      <c r="E128" s="1">
        <v>37</v>
      </c>
      <c r="F128" s="1">
        <v>370</v>
      </c>
      <c r="G128" s="7">
        <v>193.12</v>
      </c>
      <c r="H128" s="1" t="s">
        <v>29</v>
      </c>
      <c r="I128" s="1" t="s">
        <v>13</v>
      </c>
      <c r="J128" s="1" t="s">
        <v>18</v>
      </c>
      <c r="K128" s="1" t="s">
        <v>21</v>
      </c>
      <c r="L128" s="1" t="s">
        <v>209</v>
      </c>
    </row>
    <row r="129" spans="1:12" x14ac:dyDescent="0.25">
      <c r="A129" s="1" t="s">
        <v>281</v>
      </c>
      <c r="B129" s="1" t="s">
        <v>23</v>
      </c>
      <c r="C129" s="1">
        <v>4570</v>
      </c>
      <c r="D129" s="1">
        <v>11</v>
      </c>
      <c r="E129" s="1">
        <v>24</v>
      </c>
      <c r="F129" s="1">
        <v>71</v>
      </c>
      <c r="G129" s="7">
        <v>1449.9</v>
      </c>
      <c r="H129" s="1" t="s">
        <v>4</v>
      </c>
      <c r="I129" s="1" t="s">
        <v>13</v>
      </c>
      <c r="J129" s="1" t="s">
        <v>18</v>
      </c>
      <c r="K129" s="1" t="s">
        <v>21</v>
      </c>
      <c r="L129" s="1" t="s">
        <v>209</v>
      </c>
    </row>
    <row r="130" spans="1:12" x14ac:dyDescent="0.25">
      <c r="A130" s="1" t="s">
        <v>280</v>
      </c>
      <c r="B130" s="1" t="s">
        <v>23</v>
      </c>
      <c r="C130" s="1">
        <v>2381</v>
      </c>
      <c r="D130" s="1">
        <v>31</v>
      </c>
      <c r="E130" s="1">
        <v>13</v>
      </c>
      <c r="F130" s="1">
        <v>252</v>
      </c>
      <c r="G130" s="7">
        <v>2201.4699999999998</v>
      </c>
      <c r="H130" s="1" t="s">
        <v>14</v>
      </c>
      <c r="I130" s="1" t="s">
        <v>3</v>
      </c>
      <c r="J130" s="1" t="s">
        <v>18</v>
      </c>
      <c r="K130" s="1" t="s">
        <v>21</v>
      </c>
      <c r="L130" s="1" t="s">
        <v>209</v>
      </c>
    </row>
    <row r="131" spans="1:12" x14ac:dyDescent="0.25">
      <c r="A131" s="1" t="s">
        <v>279</v>
      </c>
      <c r="B131" s="1" t="s">
        <v>23</v>
      </c>
      <c r="C131" s="1">
        <v>3944</v>
      </c>
      <c r="D131" s="1">
        <v>37</v>
      </c>
      <c r="E131" s="1">
        <v>28</v>
      </c>
      <c r="F131" s="1">
        <v>386</v>
      </c>
      <c r="G131" s="7">
        <v>318.89999999999998</v>
      </c>
      <c r="H131" s="1" t="s">
        <v>4</v>
      </c>
      <c r="I131" s="1" t="s">
        <v>13</v>
      </c>
      <c r="J131" s="1" t="s">
        <v>18</v>
      </c>
      <c r="K131" s="1" t="s">
        <v>15</v>
      </c>
      <c r="L131" s="1" t="s">
        <v>209</v>
      </c>
    </row>
    <row r="132" spans="1:12" x14ac:dyDescent="0.25">
      <c r="A132" s="8">
        <v>45788</v>
      </c>
      <c r="B132" s="1" t="s">
        <v>23</v>
      </c>
      <c r="C132" s="1">
        <v>3279</v>
      </c>
      <c r="D132" s="1">
        <v>31</v>
      </c>
      <c r="E132" s="1">
        <v>47</v>
      </c>
      <c r="F132" s="1">
        <v>447</v>
      </c>
      <c r="G132" s="7">
        <v>1567.17</v>
      </c>
      <c r="H132" s="1" t="s">
        <v>4</v>
      </c>
      <c r="I132" s="1" t="s">
        <v>13</v>
      </c>
      <c r="J132" s="1" t="s">
        <v>8</v>
      </c>
      <c r="K132" s="1" t="s">
        <v>10</v>
      </c>
      <c r="L132" s="1" t="s">
        <v>209</v>
      </c>
    </row>
    <row r="133" spans="1:12" x14ac:dyDescent="0.25">
      <c r="A133" s="1" t="s">
        <v>278</v>
      </c>
      <c r="B133" s="1" t="s">
        <v>23</v>
      </c>
      <c r="C133" s="1">
        <v>3724</v>
      </c>
      <c r="D133" s="1">
        <v>39</v>
      </c>
      <c r="E133" s="1">
        <v>24</v>
      </c>
      <c r="F133" s="1">
        <v>67</v>
      </c>
      <c r="G133" s="7">
        <v>1914.89</v>
      </c>
      <c r="H133" s="1" t="s">
        <v>4</v>
      </c>
      <c r="I133" s="1" t="s">
        <v>13</v>
      </c>
      <c r="J133" s="1" t="s">
        <v>8</v>
      </c>
      <c r="K133" s="1" t="s">
        <v>17</v>
      </c>
      <c r="L133" s="1" t="s">
        <v>209</v>
      </c>
    </row>
    <row r="134" spans="1:12" x14ac:dyDescent="0.25">
      <c r="A134" s="1" t="s">
        <v>277</v>
      </c>
      <c r="B134" s="1" t="s">
        <v>23</v>
      </c>
      <c r="C134" s="1">
        <v>4606</v>
      </c>
      <c r="D134" s="1">
        <v>21</v>
      </c>
      <c r="E134" s="1">
        <v>42</v>
      </c>
      <c r="F134" s="1">
        <v>386</v>
      </c>
      <c r="G134" s="7">
        <v>2492.41</v>
      </c>
      <c r="H134" s="1" t="s">
        <v>12</v>
      </c>
      <c r="I134" s="1" t="s">
        <v>13</v>
      </c>
      <c r="J134" s="1" t="s">
        <v>2</v>
      </c>
      <c r="K134" s="1" t="s">
        <v>15</v>
      </c>
      <c r="L134" s="1" t="s">
        <v>209</v>
      </c>
    </row>
    <row r="135" spans="1:12" x14ac:dyDescent="0.25">
      <c r="A135" s="1" t="s">
        <v>276</v>
      </c>
      <c r="B135" s="1" t="s">
        <v>23</v>
      </c>
      <c r="C135" s="1">
        <v>2996</v>
      </c>
      <c r="D135" s="1">
        <v>11</v>
      </c>
      <c r="E135" s="1">
        <v>20</v>
      </c>
      <c r="F135" s="1">
        <v>304</v>
      </c>
      <c r="G135" s="7">
        <v>463.51</v>
      </c>
      <c r="H135" s="1" t="s">
        <v>4</v>
      </c>
      <c r="I135" s="1" t="s">
        <v>13</v>
      </c>
      <c r="J135" s="1" t="s">
        <v>11</v>
      </c>
      <c r="K135" s="1" t="s">
        <v>10</v>
      </c>
      <c r="L135" s="1" t="s">
        <v>209</v>
      </c>
    </row>
    <row r="136" spans="1:12" x14ac:dyDescent="0.25">
      <c r="A136" s="1" t="s">
        <v>275</v>
      </c>
      <c r="B136" s="1" t="s">
        <v>23</v>
      </c>
      <c r="C136" s="1">
        <v>4581</v>
      </c>
      <c r="D136" s="1">
        <v>28</v>
      </c>
      <c r="E136" s="1">
        <v>35</v>
      </c>
      <c r="F136" s="1">
        <v>374</v>
      </c>
      <c r="G136" s="7">
        <v>942.86</v>
      </c>
      <c r="H136" s="1" t="s">
        <v>14</v>
      </c>
      <c r="I136" s="1" t="s">
        <v>13</v>
      </c>
      <c r="J136" s="1" t="s">
        <v>18</v>
      </c>
      <c r="K136" s="1" t="s">
        <v>10</v>
      </c>
      <c r="L136" s="1" t="s">
        <v>209</v>
      </c>
    </row>
    <row r="137" spans="1:12" x14ac:dyDescent="0.25">
      <c r="A137" s="1" t="s">
        <v>274</v>
      </c>
      <c r="B137" s="1" t="s">
        <v>23</v>
      </c>
      <c r="C137" s="1">
        <v>4560</v>
      </c>
      <c r="D137" s="1">
        <v>14</v>
      </c>
      <c r="E137" s="1">
        <v>44</v>
      </c>
      <c r="F137" s="1">
        <v>60</v>
      </c>
      <c r="G137" s="7">
        <v>2274.64</v>
      </c>
      <c r="H137" s="1" t="s">
        <v>4</v>
      </c>
      <c r="I137" s="1" t="s">
        <v>13</v>
      </c>
      <c r="J137" s="1" t="s">
        <v>18</v>
      </c>
      <c r="K137" s="1" t="s">
        <v>15</v>
      </c>
      <c r="L137" s="1" t="s">
        <v>209</v>
      </c>
    </row>
    <row r="138" spans="1:12" x14ac:dyDescent="0.25">
      <c r="A138" s="1" t="s">
        <v>273</v>
      </c>
      <c r="B138" s="1" t="s">
        <v>23</v>
      </c>
      <c r="C138" s="1">
        <v>4845</v>
      </c>
      <c r="D138" s="1">
        <v>18</v>
      </c>
      <c r="E138" s="1">
        <v>27</v>
      </c>
      <c r="F138" s="1">
        <v>394</v>
      </c>
      <c r="G138" s="7">
        <v>1194.1199999999999</v>
      </c>
      <c r="H138" s="1" t="s">
        <v>12</v>
      </c>
      <c r="I138" s="1" t="s">
        <v>13</v>
      </c>
      <c r="J138" s="1" t="s">
        <v>11</v>
      </c>
      <c r="K138" s="1" t="s">
        <v>10</v>
      </c>
      <c r="L138" s="1" t="s">
        <v>209</v>
      </c>
    </row>
    <row r="139" spans="1:12" x14ac:dyDescent="0.25">
      <c r="A139" s="1" t="s">
        <v>272</v>
      </c>
      <c r="B139" s="1" t="s">
        <v>23</v>
      </c>
      <c r="C139" s="1">
        <v>3953</v>
      </c>
      <c r="D139" s="1">
        <v>9</v>
      </c>
      <c r="E139" s="1">
        <v>9</v>
      </c>
      <c r="F139" s="1">
        <v>174</v>
      </c>
      <c r="G139" s="7">
        <v>1627.89</v>
      </c>
      <c r="H139" s="1" t="s">
        <v>4</v>
      </c>
      <c r="I139" s="1" t="s">
        <v>13</v>
      </c>
      <c r="J139" s="1" t="s">
        <v>18</v>
      </c>
      <c r="K139" s="1" t="s">
        <v>1</v>
      </c>
      <c r="L139" s="1" t="s">
        <v>209</v>
      </c>
    </row>
    <row r="140" spans="1:12" x14ac:dyDescent="0.25">
      <c r="A140" s="1" t="s">
        <v>271</v>
      </c>
      <c r="B140" s="1" t="s">
        <v>23</v>
      </c>
      <c r="C140" s="1">
        <v>3275</v>
      </c>
      <c r="D140" s="1">
        <v>43</v>
      </c>
      <c r="E140" s="1">
        <v>24</v>
      </c>
      <c r="F140" s="1">
        <v>418</v>
      </c>
      <c r="G140" s="7">
        <v>1362.01</v>
      </c>
      <c r="H140" s="1" t="s">
        <v>4</v>
      </c>
      <c r="I140" s="1" t="s">
        <v>13</v>
      </c>
      <c r="J140" s="1" t="s">
        <v>2</v>
      </c>
      <c r="K140" s="1" t="s">
        <v>1</v>
      </c>
      <c r="L140" s="1" t="s">
        <v>209</v>
      </c>
    </row>
    <row r="141" spans="1:12" x14ac:dyDescent="0.25">
      <c r="A141" s="1" t="s">
        <v>270</v>
      </c>
      <c r="B141" s="1" t="s">
        <v>23</v>
      </c>
      <c r="C141" s="1">
        <v>4208</v>
      </c>
      <c r="D141" s="1">
        <v>45</v>
      </c>
      <c r="E141" s="1">
        <v>3</v>
      </c>
      <c r="F141" s="1">
        <v>322</v>
      </c>
      <c r="G141" s="7">
        <v>1641.01</v>
      </c>
      <c r="H141" s="1" t="s">
        <v>19</v>
      </c>
      <c r="I141" s="1" t="s">
        <v>13</v>
      </c>
      <c r="J141" s="1" t="s">
        <v>18</v>
      </c>
      <c r="K141" s="1" t="s">
        <v>10</v>
      </c>
      <c r="L141" s="1" t="s">
        <v>209</v>
      </c>
    </row>
    <row r="142" spans="1:12" x14ac:dyDescent="0.25">
      <c r="A142" s="1" t="s">
        <v>269</v>
      </c>
      <c r="B142" s="1" t="s">
        <v>23</v>
      </c>
      <c r="C142" s="1">
        <v>626</v>
      </c>
      <c r="D142" s="1">
        <v>17</v>
      </c>
      <c r="E142" s="1">
        <v>30</v>
      </c>
      <c r="F142" s="1">
        <v>128</v>
      </c>
      <c r="G142" s="7">
        <v>1675.25</v>
      </c>
      <c r="H142" s="1" t="s">
        <v>12</v>
      </c>
      <c r="I142" s="1" t="s">
        <v>13</v>
      </c>
      <c r="J142" s="1" t="s">
        <v>11</v>
      </c>
      <c r="K142" s="1" t="s">
        <v>21</v>
      </c>
      <c r="L142" s="1" t="s">
        <v>209</v>
      </c>
    </row>
    <row r="143" spans="1:12" x14ac:dyDescent="0.25">
      <c r="A143" s="1" t="s">
        <v>268</v>
      </c>
      <c r="B143" s="1" t="s">
        <v>23</v>
      </c>
      <c r="C143" s="1">
        <v>3188</v>
      </c>
      <c r="D143" s="1">
        <v>24</v>
      </c>
      <c r="E143" s="1">
        <v>-1</v>
      </c>
      <c r="F143" s="1">
        <v>36</v>
      </c>
      <c r="G143" s="7">
        <v>956.18</v>
      </c>
      <c r="H143" s="1" t="s">
        <v>29</v>
      </c>
      <c r="I143" s="1" t="s">
        <v>13</v>
      </c>
      <c r="J143" s="1" t="s">
        <v>18</v>
      </c>
      <c r="K143" s="1" t="s">
        <v>15</v>
      </c>
      <c r="L143" s="1" t="s">
        <v>209</v>
      </c>
    </row>
    <row r="144" spans="1:12" x14ac:dyDescent="0.25">
      <c r="A144" s="1" t="s">
        <v>267</v>
      </c>
      <c r="B144" s="1" t="s">
        <v>23</v>
      </c>
      <c r="C144" s="1">
        <v>1925</v>
      </c>
      <c r="D144" s="1">
        <v>15</v>
      </c>
      <c r="E144" s="1">
        <v>27</v>
      </c>
      <c r="F144" s="1">
        <v>360</v>
      </c>
      <c r="G144" s="7">
        <v>1816.33</v>
      </c>
      <c r="H144" s="1" t="s">
        <v>12</v>
      </c>
      <c r="I144" s="1" t="s">
        <v>13</v>
      </c>
      <c r="J144" s="1" t="s">
        <v>11</v>
      </c>
      <c r="K144" s="1" t="s">
        <v>17</v>
      </c>
      <c r="L144" s="1" t="s">
        <v>209</v>
      </c>
    </row>
    <row r="145" spans="1:12" x14ac:dyDescent="0.25">
      <c r="A145" s="1" t="s">
        <v>266</v>
      </c>
      <c r="B145" s="1" t="s">
        <v>23</v>
      </c>
      <c r="C145" s="1">
        <v>1032</v>
      </c>
      <c r="D145" s="1">
        <v>45</v>
      </c>
      <c r="E145" s="1">
        <v>36</v>
      </c>
      <c r="F145" s="1">
        <v>329</v>
      </c>
      <c r="G145" s="7">
        <v>2341.36</v>
      </c>
      <c r="H145" s="1" t="s">
        <v>4</v>
      </c>
      <c r="I145" s="1" t="s">
        <v>13</v>
      </c>
      <c r="J145" s="1" t="s">
        <v>18</v>
      </c>
      <c r="K145" s="1" t="s">
        <v>10</v>
      </c>
      <c r="L145" s="1" t="s">
        <v>209</v>
      </c>
    </row>
    <row r="146" spans="1:12" x14ac:dyDescent="0.25">
      <c r="A146" s="1" t="s">
        <v>265</v>
      </c>
      <c r="B146" s="1" t="s">
        <v>23</v>
      </c>
      <c r="C146" s="1">
        <v>1005</v>
      </c>
      <c r="D146" s="1">
        <v>12</v>
      </c>
      <c r="E146" s="1">
        <v>34</v>
      </c>
      <c r="F146" s="1">
        <v>307</v>
      </c>
      <c r="G146" s="7">
        <v>1847.61</v>
      </c>
      <c r="H146" s="1" t="s">
        <v>4</v>
      </c>
      <c r="I146" s="1" t="s">
        <v>3</v>
      </c>
      <c r="J146" s="1" t="s">
        <v>18</v>
      </c>
      <c r="K146" s="1" t="s">
        <v>10</v>
      </c>
      <c r="L146" s="1" t="s">
        <v>209</v>
      </c>
    </row>
    <row r="147" spans="1:12" x14ac:dyDescent="0.25">
      <c r="A147" s="1" t="s">
        <v>264</v>
      </c>
      <c r="B147" s="1" t="s">
        <v>23</v>
      </c>
      <c r="C147" s="1">
        <v>4927</v>
      </c>
      <c r="D147" s="1">
        <v>6</v>
      </c>
      <c r="E147" s="1">
        <v>2</v>
      </c>
      <c r="F147" s="1">
        <v>136</v>
      </c>
      <c r="G147" s="7">
        <v>92.14</v>
      </c>
      <c r="H147" s="1" t="s">
        <v>14</v>
      </c>
      <c r="I147" s="1" t="s">
        <v>3</v>
      </c>
      <c r="J147" s="1" t="s">
        <v>18</v>
      </c>
      <c r="K147" s="1" t="s">
        <v>1</v>
      </c>
      <c r="L147" s="1" t="s">
        <v>209</v>
      </c>
    </row>
    <row r="148" spans="1:12" x14ac:dyDescent="0.25">
      <c r="A148" s="1" t="s">
        <v>263</v>
      </c>
      <c r="B148" s="1" t="s">
        <v>23</v>
      </c>
      <c r="C148" s="1">
        <v>1460</v>
      </c>
      <c r="D148" s="1">
        <v>44</v>
      </c>
      <c r="E148" s="1">
        <v>47</v>
      </c>
      <c r="F148" s="1">
        <v>253</v>
      </c>
      <c r="G148" s="7">
        <v>2397.16</v>
      </c>
      <c r="H148" s="1" t="s">
        <v>12</v>
      </c>
      <c r="I148" s="1" t="s">
        <v>13</v>
      </c>
      <c r="J148" s="1" t="s">
        <v>8</v>
      </c>
      <c r="K148" s="1" t="s">
        <v>10</v>
      </c>
      <c r="L148" s="1" t="s">
        <v>209</v>
      </c>
    </row>
    <row r="149" spans="1:12" x14ac:dyDescent="0.25">
      <c r="A149" s="1" t="s">
        <v>262</v>
      </c>
      <c r="B149" s="1" t="s">
        <v>23</v>
      </c>
      <c r="C149" s="1">
        <v>4959</v>
      </c>
      <c r="D149" s="1">
        <v>35</v>
      </c>
      <c r="E149" s="1">
        <v>6</v>
      </c>
      <c r="F149" s="1">
        <v>407</v>
      </c>
      <c r="G149" s="7">
        <v>1483.29</v>
      </c>
      <c r="H149" s="1" t="s">
        <v>19</v>
      </c>
      <c r="I149" s="1" t="s">
        <v>3</v>
      </c>
      <c r="J149" s="1" t="s">
        <v>18</v>
      </c>
      <c r="K149" s="1" t="s">
        <v>1</v>
      </c>
      <c r="L149" s="1" t="s">
        <v>209</v>
      </c>
    </row>
    <row r="150" spans="1:12" x14ac:dyDescent="0.25">
      <c r="A150" s="1" t="s">
        <v>261</v>
      </c>
      <c r="B150" s="1" t="s">
        <v>23</v>
      </c>
      <c r="C150" s="1">
        <v>3935</v>
      </c>
      <c r="D150" s="1">
        <v>7</v>
      </c>
      <c r="E150" s="1">
        <v>6</v>
      </c>
      <c r="F150" s="1">
        <v>273</v>
      </c>
      <c r="G150" s="7">
        <v>1799.14</v>
      </c>
      <c r="H150" s="1" t="s">
        <v>14</v>
      </c>
      <c r="I150" s="1" t="s">
        <v>13</v>
      </c>
      <c r="J150" s="1" t="s">
        <v>2</v>
      </c>
      <c r="K150" s="1" t="s">
        <v>10</v>
      </c>
      <c r="L150" s="1" t="s">
        <v>209</v>
      </c>
    </row>
    <row r="151" spans="1:12" x14ac:dyDescent="0.25">
      <c r="A151" s="1" t="s">
        <v>260</v>
      </c>
      <c r="B151" s="1" t="s">
        <v>23</v>
      </c>
      <c r="C151" s="1">
        <v>4272</v>
      </c>
      <c r="D151" s="1">
        <v>45</v>
      </c>
      <c r="E151" s="1">
        <v>16</v>
      </c>
      <c r="F151" s="1">
        <v>366</v>
      </c>
      <c r="G151" s="7">
        <v>247.44</v>
      </c>
      <c r="H151" s="1" t="s">
        <v>12</v>
      </c>
      <c r="I151" s="1" t="s">
        <v>13</v>
      </c>
      <c r="J151" s="1" t="s">
        <v>18</v>
      </c>
      <c r="K151" s="1" t="s">
        <v>21</v>
      </c>
      <c r="L151" s="1" t="s">
        <v>209</v>
      </c>
    </row>
    <row r="152" spans="1:12" x14ac:dyDescent="0.25">
      <c r="A152" s="1" t="s">
        <v>259</v>
      </c>
      <c r="B152" s="1" t="s">
        <v>23</v>
      </c>
      <c r="C152" s="1">
        <v>3748</v>
      </c>
      <c r="D152" s="1">
        <v>42</v>
      </c>
      <c r="E152" s="1">
        <v>22</v>
      </c>
      <c r="F152" s="1">
        <v>114</v>
      </c>
      <c r="G152" s="7">
        <v>2456.4899999999998</v>
      </c>
      <c r="H152" s="1" t="s">
        <v>4</v>
      </c>
      <c r="I152" s="1" t="s">
        <v>13</v>
      </c>
      <c r="J152" s="1" t="s">
        <v>8</v>
      </c>
      <c r="K152" s="1" t="s">
        <v>7</v>
      </c>
      <c r="L152" s="1" t="s">
        <v>209</v>
      </c>
    </row>
    <row r="153" spans="1:12" x14ac:dyDescent="0.25">
      <c r="A153" s="1" t="s">
        <v>258</v>
      </c>
      <c r="B153" s="1" t="s">
        <v>22</v>
      </c>
      <c r="C153" s="1">
        <v>3637</v>
      </c>
      <c r="D153" s="1">
        <v>10</v>
      </c>
      <c r="E153" s="1">
        <v>28</v>
      </c>
      <c r="F153" s="1">
        <v>360</v>
      </c>
      <c r="G153" s="7">
        <v>1213.3800000000001</v>
      </c>
      <c r="H153" s="1" t="s">
        <v>12</v>
      </c>
      <c r="I153" s="1" t="s">
        <v>13</v>
      </c>
      <c r="J153" s="1" t="s">
        <v>18</v>
      </c>
      <c r="K153" s="1" t="s">
        <v>7</v>
      </c>
      <c r="L153" s="1" t="s">
        <v>209</v>
      </c>
    </row>
    <row r="154" spans="1:12" x14ac:dyDescent="0.25">
      <c r="A154" s="1" t="s">
        <v>257</v>
      </c>
      <c r="B154" s="1" t="s">
        <v>22</v>
      </c>
      <c r="C154" s="1">
        <v>1850</v>
      </c>
      <c r="D154" s="1">
        <v>41</v>
      </c>
      <c r="E154" s="1">
        <v>15</v>
      </c>
      <c r="F154" s="1">
        <v>204</v>
      </c>
      <c r="G154" s="7">
        <v>1347.46</v>
      </c>
      <c r="H154" s="1" t="s">
        <v>12</v>
      </c>
      <c r="I154" s="1" t="s">
        <v>3</v>
      </c>
      <c r="J154" s="1" t="s">
        <v>8</v>
      </c>
      <c r="K154" s="1" t="s">
        <v>10</v>
      </c>
      <c r="L154" s="1" t="s">
        <v>209</v>
      </c>
    </row>
    <row r="155" spans="1:12" x14ac:dyDescent="0.25">
      <c r="A155" s="1" t="s">
        <v>256</v>
      </c>
      <c r="B155" s="1" t="s">
        <v>22</v>
      </c>
      <c r="C155" s="1">
        <v>3728</v>
      </c>
      <c r="D155" s="1">
        <v>29</v>
      </c>
      <c r="E155" s="1">
        <v>39</v>
      </c>
      <c r="F155" s="1">
        <v>376</v>
      </c>
      <c r="G155" s="7">
        <v>366.93</v>
      </c>
      <c r="H155" s="1" t="s">
        <v>12</v>
      </c>
      <c r="I155" s="1" t="s">
        <v>13</v>
      </c>
      <c r="J155" s="1" t="s">
        <v>18</v>
      </c>
      <c r="K155" s="1" t="s">
        <v>10</v>
      </c>
      <c r="L155" s="1" t="s">
        <v>209</v>
      </c>
    </row>
    <row r="156" spans="1:12" x14ac:dyDescent="0.25">
      <c r="A156" s="1" t="s">
        <v>255</v>
      </c>
      <c r="B156" s="1" t="s">
        <v>22</v>
      </c>
      <c r="C156" s="1">
        <v>2662</v>
      </c>
      <c r="D156" s="1">
        <v>6</v>
      </c>
      <c r="E156" s="1">
        <v>32</v>
      </c>
      <c r="F156" s="1">
        <v>425</v>
      </c>
      <c r="G156" s="7">
        <v>1534.01</v>
      </c>
      <c r="H156" s="1" t="s">
        <v>14</v>
      </c>
      <c r="I156" s="1" t="s">
        <v>13</v>
      </c>
      <c r="J156" s="1" t="s">
        <v>18</v>
      </c>
      <c r="K156" s="1" t="s">
        <v>17</v>
      </c>
      <c r="L156" s="1" t="s">
        <v>209</v>
      </c>
    </row>
    <row r="157" spans="1:12" x14ac:dyDescent="0.25">
      <c r="A157" s="1" t="s">
        <v>254</v>
      </c>
      <c r="B157" s="1" t="s">
        <v>22</v>
      </c>
      <c r="C157" s="1">
        <v>3455</v>
      </c>
      <c r="D157" s="1">
        <v>5</v>
      </c>
      <c r="E157" s="1">
        <v>21</v>
      </c>
      <c r="F157" s="1">
        <v>388</v>
      </c>
      <c r="G157" s="7">
        <v>2086.17</v>
      </c>
      <c r="H157" s="1" t="s">
        <v>19</v>
      </c>
      <c r="I157" s="1" t="s">
        <v>3</v>
      </c>
      <c r="J157" s="1" t="s">
        <v>18</v>
      </c>
      <c r="K157" s="1" t="s">
        <v>17</v>
      </c>
      <c r="L157" s="1" t="s">
        <v>209</v>
      </c>
    </row>
    <row r="158" spans="1:12" x14ac:dyDescent="0.25">
      <c r="A158" s="1" t="s">
        <v>253</v>
      </c>
      <c r="B158" s="1" t="s">
        <v>22</v>
      </c>
      <c r="C158" s="1">
        <v>3100</v>
      </c>
      <c r="D158" s="1">
        <v>18</v>
      </c>
      <c r="E158" s="1">
        <v>44</v>
      </c>
      <c r="F158" s="1">
        <v>197</v>
      </c>
      <c r="G158" s="7">
        <v>1862.94</v>
      </c>
      <c r="H158" s="1" t="s">
        <v>14</v>
      </c>
      <c r="I158" s="1" t="s">
        <v>13</v>
      </c>
      <c r="J158" s="1" t="s">
        <v>18</v>
      </c>
      <c r="K158" s="1" t="s">
        <v>7</v>
      </c>
      <c r="L158" s="1" t="s">
        <v>209</v>
      </c>
    </row>
    <row r="159" spans="1:12" x14ac:dyDescent="0.25">
      <c r="A159" s="1" t="s">
        <v>252</v>
      </c>
      <c r="B159" s="1" t="s">
        <v>22</v>
      </c>
      <c r="C159" s="1">
        <v>1047</v>
      </c>
      <c r="D159" s="1">
        <v>24</v>
      </c>
      <c r="E159" s="1">
        <v>21</v>
      </c>
      <c r="F159" s="1">
        <v>80</v>
      </c>
      <c r="G159" s="7">
        <v>1017.43</v>
      </c>
      <c r="H159" s="1" t="s">
        <v>4</v>
      </c>
      <c r="I159" s="1" t="s">
        <v>3</v>
      </c>
      <c r="J159" s="1" t="s">
        <v>18</v>
      </c>
      <c r="K159" s="1" t="s">
        <v>1</v>
      </c>
      <c r="L159" s="1" t="s">
        <v>209</v>
      </c>
    </row>
    <row r="160" spans="1:12" x14ac:dyDescent="0.25">
      <c r="A160" s="1" t="s">
        <v>251</v>
      </c>
      <c r="B160" s="1" t="s">
        <v>22</v>
      </c>
      <c r="C160" s="1">
        <v>2973</v>
      </c>
      <c r="D160" s="1">
        <v>34</v>
      </c>
      <c r="E160" s="1">
        <v>46</v>
      </c>
      <c r="F160" s="1">
        <v>319</v>
      </c>
      <c r="G160" s="7">
        <v>1963.97</v>
      </c>
      <c r="H160" s="1" t="s">
        <v>19</v>
      </c>
      <c r="I160" s="1" t="s">
        <v>3</v>
      </c>
      <c r="J160" s="1" t="s">
        <v>18</v>
      </c>
      <c r="K160" s="1" t="s">
        <v>21</v>
      </c>
      <c r="L160" s="1" t="s">
        <v>209</v>
      </c>
    </row>
    <row r="161" spans="1:12" x14ac:dyDescent="0.25">
      <c r="A161" s="1" t="s">
        <v>250</v>
      </c>
      <c r="B161" s="1" t="s">
        <v>22</v>
      </c>
      <c r="C161" s="1">
        <v>2597</v>
      </c>
      <c r="D161" s="1">
        <v>12</v>
      </c>
      <c r="E161" s="1">
        <v>47</v>
      </c>
      <c r="F161" s="1">
        <v>274</v>
      </c>
      <c r="G161" s="7">
        <v>718.31</v>
      </c>
      <c r="H161" s="1" t="s">
        <v>14</v>
      </c>
      <c r="I161" s="1" t="s">
        <v>3</v>
      </c>
      <c r="J161" s="1" t="s">
        <v>11</v>
      </c>
      <c r="K161" s="1" t="s">
        <v>1</v>
      </c>
      <c r="L161" s="1" t="s">
        <v>209</v>
      </c>
    </row>
    <row r="162" spans="1:12" x14ac:dyDescent="0.25">
      <c r="A162" s="1" t="s">
        <v>249</v>
      </c>
      <c r="B162" s="1" t="s">
        <v>22</v>
      </c>
      <c r="C162" s="1">
        <v>4565</v>
      </c>
      <c r="D162" s="1">
        <v>12</v>
      </c>
      <c r="E162" s="1">
        <v>47</v>
      </c>
      <c r="F162" s="1">
        <v>188</v>
      </c>
      <c r="G162" s="7">
        <v>1535.92</v>
      </c>
      <c r="H162" s="1" t="s">
        <v>19</v>
      </c>
      <c r="I162" s="1" t="s">
        <v>13</v>
      </c>
      <c r="J162" s="1" t="s">
        <v>11</v>
      </c>
      <c r="K162" s="1" t="s">
        <v>7</v>
      </c>
      <c r="L162" s="1" t="s">
        <v>209</v>
      </c>
    </row>
    <row r="163" spans="1:12" x14ac:dyDescent="0.25">
      <c r="A163" s="1" t="s">
        <v>248</v>
      </c>
      <c r="B163" s="1" t="s">
        <v>22</v>
      </c>
      <c r="C163" s="1">
        <v>1903</v>
      </c>
      <c r="D163" s="1">
        <v>4</v>
      </c>
      <c r="E163" s="1">
        <v>30</v>
      </c>
      <c r="F163" s="1">
        <v>249</v>
      </c>
      <c r="G163" s="7">
        <v>25.75</v>
      </c>
      <c r="H163" s="1" t="s">
        <v>14</v>
      </c>
      <c r="I163" s="1" t="s">
        <v>13</v>
      </c>
      <c r="J163" s="1" t="s">
        <v>11</v>
      </c>
      <c r="K163" s="1" t="s">
        <v>10</v>
      </c>
      <c r="L163" s="1" t="s">
        <v>209</v>
      </c>
    </row>
    <row r="164" spans="1:12" x14ac:dyDescent="0.25">
      <c r="A164" s="1" t="s">
        <v>247</v>
      </c>
      <c r="B164" s="1" t="s">
        <v>22</v>
      </c>
      <c r="C164" s="1">
        <v>3668</v>
      </c>
      <c r="D164" s="1">
        <v>36</v>
      </c>
      <c r="E164" s="1">
        <v>20</v>
      </c>
      <c r="F164" s="1">
        <v>397</v>
      </c>
      <c r="G164" s="7">
        <v>506.28</v>
      </c>
      <c r="H164" s="1" t="s">
        <v>4</v>
      </c>
      <c r="I164" s="1" t="s">
        <v>13</v>
      </c>
      <c r="J164" s="1" t="s">
        <v>18</v>
      </c>
      <c r="K164" s="1" t="s">
        <v>10</v>
      </c>
      <c r="L164" s="1" t="s">
        <v>209</v>
      </c>
    </row>
    <row r="165" spans="1:12" x14ac:dyDescent="0.25">
      <c r="A165" s="1" t="s">
        <v>246</v>
      </c>
      <c r="B165" s="1" t="s">
        <v>22</v>
      </c>
      <c r="C165" s="1">
        <v>4851</v>
      </c>
      <c r="D165" s="1">
        <v>23</v>
      </c>
      <c r="E165" s="1">
        <v>16</v>
      </c>
      <c r="F165" s="1">
        <v>73</v>
      </c>
      <c r="G165" s="7">
        <v>2026.1</v>
      </c>
      <c r="H165" s="1" t="s">
        <v>12</v>
      </c>
      <c r="I165" s="1" t="s">
        <v>13</v>
      </c>
      <c r="J165" s="1" t="s">
        <v>18</v>
      </c>
      <c r="K165" s="1" t="s">
        <v>7</v>
      </c>
      <c r="L165" s="1" t="s">
        <v>209</v>
      </c>
    </row>
    <row r="166" spans="1:12" x14ac:dyDescent="0.25">
      <c r="A166" s="1" t="s">
        <v>245</v>
      </c>
      <c r="B166" s="1" t="s">
        <v>22</v>
      </c>
      <c r="C166" s="1">
        <v>3835</v>
      </c>
      <c r="D166" s="1">
        <v>22</v>
      </c>
      <c r="E166" s="1">
        <v>5</v>
      </c>
      <c r="F166" s="1">
        <v>114</v>
      </c>
      <c r="G166" s="7">
        <v>652.19000000000005</v>
      </c>
      <c r="H166" s="1" t="s">
        <v>25</v>
      </c>
      <c r="I166" s="1" t="s">
        <v>3</v>
      </c>
      <c r="J166" s="1" t="s">
        <v>18</v>
      </c>
      <c r="K166" s="1" t="s">
        <v>1</v>
      </c>
      <c r="L166" s="1" t="s">
        <v>209</v>
      </c>
    </row>
    <row r="167" spans="1:12" x14ac:dyDescent="0.25">
      <c r="A167" s="1" t="s">
        <v>244</v>
      </c>
      <c r="B167" s="1" t="s">
        <v>22</v>
      </c>
      <c r="C167" s="1">
        <v>4196</v>
      </c>
      <c r="D167" s="1">
        <v>10</v>
      </c>
      <c r="E167" s="1">
        <v>-4</v>
      </c>
      <c r="F167" s="1">
        <v>40</v>
      </c>
      <c r="G167" s="7">
        <v>2322.5300000000002</v>
      </c>
      <c r="H167" s="1" t="s">
        <v>12</v>
      </c>
      <c r="I167" s="1" t="s">
        <v>13</v>
      </c>
      <c r="J167" s="1" t="s">
        <v>18</v>
      </c>
      <c r="K167" s="1" t="s">
        <v>1</v>
      </c>
      <c r="L167" s="1" t="s">
        <v>209</v>
      </c>
    </row>
    <row r="168" spans="1:12" x14ac:dyDescent="0.25">
      <c r="A168" s="1" t="s">
        <v>243</v>
      </c>
      <c r="B168" s="1" t="s">
        <v>22</v>
      </c>
      <c r="C168" s="1">
        <v>3028</v>
      </c>
      <c r="D168" s="1">
        <v>34</v>
      </c>
      <c r="E168" s="1">
        <v>18</v>
      </c>
      <c r="F168" s="1">
        <v>226</v>
      </c>
      <c r="G168" s="7">
        <v>950.89</v>
      </c>
      <c r="H168" s="1" t="s">
        <v>12</v>
      </c>
      <c r="I168" s="1" t="s">
        <v>3</v>
      </c>
      <c r="J168" s="1" t="s">
        <v>8</v>
      </c>
      <c r="K168" s="1" t="s">
        <v>21</v>
      </c>
      <c r="L168" s="1" t="s">
        <v>209</v>
      </c>
    </row>
    <row r="169" spans="1:12" x14ac:dyDescent="0.25">
      <c r="A169" s="1" t="s">
        <v>242</v>
      </c>
      <c r="B169" s="1" t="s">
        <v>22</v>
      </c>
      <c r="C169" s="1">
        <v>4081</v>
      </c>
      <c r="D169" s="1">
        <v>41</v>
      </c>
      <c r="E169" s="1">
        <v>39</v>
      </c>
      <c r="F169" s="1">
        <v>384</v>
      </c>
      <c r="G169" s="7">
        <v>1255.05</v>
      </c>
      <c r="H169" s="1" t="s">
        <v>12</v>
      </c>
      <c r="I169" s="1" t="s">
        <v>13</v>
      </c>
      <c r="J169" s="1" t="s">
        <v>18</v>
      </c>
      <c r="K169" s="1" t="s">
        <v>7</v>
      </c>
      <c r="L169" s="1" t="s">
        <v>209</v>
      </c>
    </row>
    <row r="170" spans="1:12" x14ac:dyDescent="0.25">
      <c r="A170" s="1" t="s">
        <v>241</v>
      </c>
      <c r="B170" s="1" t="s">
        <v>22</v>
      </c>
      <c r="C170" s="1">
        <v>4867</v>
      </c>
      <c r="D170" s="1">
        <v>13</v>
      </c>
      <c r="E170" s="1">
        <v>42</v>
      </c>
      <c r="F170" s="1">
        <v>103</v>
      </c>
      <c r="G170" s="7">
        <v>425.71</v>
      </c>
      <c r="H170" s="1" t="s">
        <v>12</v>
      </c>
      <c r="I170" s="1" t="s">
        <v>3</v>
      </c>
      <c r="J170" s="1" t="s">
        <v>18</v>
      </c>
      <c r="K170" s="1" t="s">
        <v>7</v>
      </c>
      <c r="L170" s="1" t="s">
        <v>209</v>
      </c>
    </row>
    <row r="171" spans="1:12" x14ac:dyDescent="0.25">
      <c r="A171" s="1" t="s">
        <v>240</v>
      </c>
      <c r="B171" s="1" t="s">
        <v>22</v>
      </c>
      <c r="C171" s="1">
        <v>4487</v>
      </c>
      <c r="D171" s="1">
        <v>26</v>
      </c>
      <c r="E171" s="1">
        <v>43</v>
      </c>
      <c r="F171" s="1">
        <v>163</v>
      </c>
      <c r="G171" s="7">
        <v>1572.27</v>
      </c>
      <c r="H171" s="1" t="s">
        <v>19</v>
      </c>
      <c r="I171" s="1" t="s">
        <v>3</v>
      </c>
      <c r="J171" s="1" t="s">
        <v>18</v>
      </c>
      <c r="K171" s="1" t="s">
        <v>10</v>
      </c>
      <c r="L171" s="1" t="s">
        <v>209</v>
      </c>
    </row>
    <row r="172" spans="1:12" x14ac:dyDescent="0.25">
      <c r="A172" s="1" t="s">
        <v>239</v>
      </c>
      <c r="B172" s="1" t="s">
        <v>22</v>
      </c>
      <c r="C172" s="1">
        <v>2611</v>
      </c>
      <c r="D172" s="1">
        <v>35</v>
      </c>
      <c r="E172" s="1">
        <v>-5</v>
      </c>
      <c r="F172" s="1">
        <v>180</v>
      </c>
      <c r="G172" s="7">
        <v>620.41</v>
      </c>
      <c r="H172" s="1" t="s">
        <v>14</v>
      </c>
      <c r="I172" s="1" t="s">
        <v>3</v>
      </c>
      <c r="J172" s="1" t="s">
        <v>18</v>
      </c>
      <c r="K172" s="1" t="s">
        <v>7</v>
      </c>
      <c r="L172" s="1" t="s">
        <v>209</v>
      </c>
    </row>
    <row r="173" spans="1:12" x14ac:dyDescent="0.25">
      <c r="A173" s="1" t="s">
        <v>238</v>
      </c>
      <c r="B173" s="1" t="s">
        <v>22</v>
      </c>
      <c r="C173" s="1">
        <v>1323</v>
      </c>
      <c r="D173" s="1">
        <v>7</v>
      </c>
      <c r="E173" s="1">
        <v>14</v>
      </c>
      <c r="F173" s="1">
        <v>37</v>
      </c>
      <c r="G173" s="7">
        <v>926.39</v>
      </c>
      <c r="H173" s="1" t="s">
        <v>4</v>
      </c>
      <c r="I173" s="1" t="s">
        <v>3</v>
      </c>
      <c r="J173" s="1" t="s">
        <v>8</v>
      </c>
      <c r="K173" s="1" t="s">
        <v>1</v>
      </c>
      <c r="L173" s="1" t="s">
        <v>209</v>
      </c>
    </row>
    <row r="174" spans="1:12" x14ac:dyDescent="0.25">
      <c r="A174" s="1" t="s">
        <v>237</v>
      </c>
      <c r="B174" s="1" t="s">
        <v>22</v>
      </c>
      <c r="C174" s="1">
        <v>4819</v>
      </c>
      <c r="D174" s="1">
        <v>3</v>
      </c>
      <c r="E174" s="1">
        <v>27</v>
      </c>
      <c r="F174" s="1">
        <v>31</v>
      </c>
      <c r="G174" s="7">
        <v>427.36</v>
      </c>
      <c r="H174" s="1" t="s">
        <v>12</v>
      </c>
      <c r="I174" s="1" t="s">
        <v>13</v>
      </c>
      <c r="J174" s="1" t="s">
        <v>18</v>
      </c>
      <c r="K174" s="1" t="s">
        <v>10</v>
      </c>
      <c r="L174" s="1" t="s">
        <v>209</v>
      </c>
    </row>
    <row r="175" spans="1:12" x14ac:dyDescent="0.25">
      <c r="A175" s="1" t="s">
        <v>236</v>
      </c>
      <c r="B175" s="1" t="s">
        <v>22</v>
      </c>
      <c r="C175" s="1">
        <v>3018</v>
      </c>
      <c r="D175" s="1">
        <v>18</v>
      </c>
      <c r="E175" s="1">
        <v>47</v>
      </c>
      <c r="F175" s="1">
        <v>330</v>
      </c>
      <c r="G175" s="7">
        <v>261.89</v>
      </c>
      <c r="H175" s="1" t="s">
        <v>14</v>
      </c>
      <c r="I175" s="1" t="s">
        <v>13</v>
      </c>
      <c r="J175" s="1" t="s">
        <v>11</v>
      </c>
      <c r="K175" s="1" t="s">
        <v>7</v>
      </c>
      <c r="L175" s="1" t="s">
        <v>209</v>
      </c>
    </row>
    <row r="176" spans="1:12" x14ac:dyDescent="0.25">
      <c r="A176" s="1" t="s">
        <v>235</v>
      </c>
      <c r="B176" s="1" t="s">
        <v>22</v>
      </c>
      <c r="C176" s="1">
        <v>2420</v>
      </c>
      <c r="D176" s="1">
        <v>38</v>
      </c>
      <c r="E176" s="1">
        <v>3</v>
      </c>
      <c r="F176" s="1">
        <v>218</v>
      </c>
      <c r="G176" s="7">
        <v>1113.25</v>
      </c>
      <c r="H176" s="1" t="s">
        <v>4</v>
      </c>
      <c r="I176" s="1" t="s">
        <v>13</v>
      </c>
      <c r="J176" s="1" t="s">
        <v>11</v>
      </c>
      <c r="K176" s="1" t="s">
        <v>10</v>
      </c>
      <c r="L176" s="1" t="s">
        <v>209</v>
      </c>
    </row>
    <row r="177" spans="1:12" x14ac:dyDescent="0.25">
      <c r="A177" s="1" t="s">
        <v>234</v>
      </c>
      <c r="B177" s="1" t="s">
        <v>22</v>
      </c>
      <c r="C177" s="1">
        <v>3616</v>
      </c>
      <c r="D177" s="1">
        <v>42</v>
      </c>
      <c r="E177" s="1">
        <v>14</v>
      </c>
      <c r="F177" s="1">
        <v>266</v>
      </c>
      <c r="G177" s="7">
        <v>1651.84</v>
      </c>
      <c r="H177" s="1" t="s">
        <v>14</v>
      </c>
      <c r="I177" s="1" t="s">
        <v>13</v>
      </c>
      <c r="J177" s="1" t="s">
        <v>18</v>
      </c>
      <c r="K177" s="1" t="s">
        <v>15</v>
      </c>
      <c r="L177" s="1" t="s">
        <v>209</v>
      </c>
    </row>
    <row r="178" spans="1:12" x14ac:dyDescent="0.25">
      <c r="A178" s="1" t="s">
        <v>233</v>
      </c>
      <c r="B178" s="1" t="s">
        <v>22</v>
      </c>
      <c r="C178" s="1">
        <v>1072</v>
      </c>
      <c r="D178" s="1">
        <v>40</v>
      </c>
      <c r="E178" s="1">
        <v>46</v>
      </c>
      <c r="F178" s="1">
        <v>49</v>
      </c>
      <c r="G178" s="7">
        <v>1214.1199999999999</v>
      </c>
      <c r="H178" s="1" t="s">
        <v>14</v>
      </c>
      <c r="I178" s="1" t="s">
        <v>3</v>
      </c>
      <c r="J178" s="1" t="s">
        <v>11</v>
      </c>
      <c r="K178" s="1" t="s">
        <v>7</v>
      </c>
      <c r="L178" s="1" t="s">
        <v>209</v>
      </c>
    </row>
    <row r="179" spans="1:12" x14ac:dyDescent="0.25">
      <c r="A179" s="1" t="s">
        <v>232</v>
      </c>
      <c r="B179" s="1" t="s">
        <v>22</v>
      </c>
      <c r="C179" s="1">
        <v>4661</v>
      </c>
      <c r="D179" s="1">
        <v>24</v>
      </c>
      <c r="E179" s="1">
        <v>26</v>
      </c>
      <c r="F179" s="1">
        <v>220</v>
      </c>
      <c r="G179" s="7">
        <v>375.75</v>
      </c>
      <c r="H179" s="1" t="s">
        <v>19</v>
      </c>
      <c r="I179" s="1" t="s">
        <v>3</v>
      </c>
      <c r="J179" s="1" t="s">
        <v>18</v>
      </c>
      <c r="K179" s="1" t="s">
        <v>17</v>
      </c>
      <c r="L179" s="1" t="s">
        <v>209</v>
      </c>
    </row>
    <row r="180" spans="1:12" x14ac:dyDescent="0.25">
      <c r="A180" s="1" t="s">
        <v>231</v>
      </c>
      <c r="B180" s="1" t="s">
        <v>22</v>
      </c>
      <c r="C180" s="1">
        <v>3876</v>
      </c>
      <c r="D180" s="1">
        <v>8</v>
      </c>
      <c r="E180" s="1">
        <v>6</v>
      </c>
      <c r="F180" s="1">
        <v>358</v>
      </c>
      <c r="G180" s="7">
        <v>748.72</v>
      </c>
      <c r="H180" s="1" t="s">
        <v>12</v>
      </c>
      <c r="I180" s="1" t="s">
        <v>13</v>
      </c>
      <c r="J180" s="1" t="s">
        <v>11</v>
      </c>
      <c r="K180" s="1" t="s">
        <v>7</v>
      </c>
      <c r="L180" s="1" t="s">
        <v>209</v>
      </c>
    </row>
    <row r="181" spans="1:12" x14ac:dyDescent="0.25">
      <c r="A181" s="1" t="s">
        <v>230</v>
      </c>
      <c r="B181" s="1" t="s">
        <v>22</v>
      </c>
      <c r="C181" s="1">
        <v>1514</v>
      </c>
      <c r="D181" s="1">
        <v>6</v>
      </c>
      <c r="E181" s="1">
        <v>34</v>
      </c>
      <c r="F181" s="1">
        <v>270</v>
      </c>
      <c r="G181" s="7">
        <v>1987.1</v>
      </c>
      <c r="H181" s="1" t="s">
        <v>14</v>
      </c>
      <c r="I181" s="1" t="s">
        <v>13</v>
      </c>
      <c r="J181" s="1" t="s">
        <v>2</v>
      </c>
      <c r="K181" s="1" t="s">
        <v>15</v>
      </c>
      <c r="L181" s="1" t="s">
        <v>209</v>
      </c>
    </row>
    <row r="182" spans="1:12" x14ac:dyDescent="0.25">
      <c r="A182" s="1" t="s">
        <v>229</v>
      </c>
      <c r="B182" s="1" t="s">
        <v>22</v>
      </c>
      <c r="C182" s="1">
        <v>772</v>
      </c>
      <c r="D182" s="1">
        <v>12</v>
      </c>
      <c r="E182" s="1">
        <v>27</v>
      </c>
      <c r="F182" s="1">
        <v>358</v>
      </c>
      <c r="G182" s="7">
        <v>2016.07</v>
      </c>
      <c r="H182" s="1" t="s">
        <v>4</v>
      </c>
      <c r="I182" s="1" t="s">
        <v>13</v>
      </c>
      <c r="J182" s="1" t="s">
        <v>18</v>
      </c>
      <c r="K182" s="1" t="s">
        <v>1</v>
      </c>
      <c r="L182" s="1" t="s">
        <v>209</v>
      </c>
    </row>
    <row r="183" spans="1:12" x14ac:dyDescent="0.25">
      <c r="A183" s="1" t="s">
        <v>228</v>
      </c>
      <c r="B183" s="1" t="s">
        <v>5</v>
      </c>
      <c r="C183" s="1">
        <v>2097</v>
      </c>
      <c r="D183" s="1">
        <v>33</v>
      </c>
      <c r="E183" s="1">
        <v>-3</v>
      </c>
      <c r="F183" s="1">
        <v>208</v>
      </c>
      <c r="G183" s="7">
        <v>1567.37</v>
      </c>
      <c r="H183" s="1" t="s">
        <v>14</v>
      </c>
      <c r="I183" s="1" t="s">
        <v>3</v>
      </c>
      <c r="J183" s="1" t="s">
        <v>18</v>
      </c>
      <c r="K183" s="1" t="s">
        <v>1</v>
      </c>
      <c r="L183" s="1" t="s">
        <v>209</v>
      </c>
    </row>
    <row r="184" spans="1:12" x14ac:dyDescent="0.25">
      <c r="A184" s="1" t="s">
        <v>227</v>
      </c>
      <c r="B184" s="1" t="s">
        <v>5</v>
      </c>
      <c r="C184" s="1">
        <v>2681</v>
      </c>
      <c r="D184" s="1">
        <v>26</v>
      </c>
      <c r="E184" s="1">
        <v>4</v>
      </c>
      <c r="F184" s="1">
        <v>99</v>
      </c>
      <c r="G184" s="7">
        <v>2015.34</v>
      </c>
      <c r="H184" s="1" t="s">
        <v>14</v>
      </c>
      <c r="I184" s="1" t="s">
        <v>13</v>
      </c>
      <c r="J184" s="1" t="s">
        <v>18</v>
      </c>
      <c r="K184" s="1" t="s">
        <v>1</v>
      </c>
      <c r="L184" s="1" t="s">
        <v>209</v>
      </c>
    </row>
    <row r="185" spans="1:12" x14ac:dyDescent="0.25">
      <c r="A185" s="1" t="s">
        <v>226</v>
      </c>
      <c r="B185" s="1" t="s">
        <v>5</v>
      </c>
      <c r="C185" s="1">
        <v>4500</v>
      </c>
      <c r="D185" s="1">
        <v>38</v>
      </c>
      <c r="E185" s="1">
        <v>41</v>
      </c>
      <c r="F185" s="1">
        <v>52</v>
      </c>
      <c r="G185" s="7">
        <v>811.88</v>
      </c>
      <c r="H185" s="1" t="s">
        <v>14</v>
      </c>
      <c r="I185" s="1" t="s">
        <v>13</v>
      </c>
      <c r="J185" s="1" t="s">
        <v>18</v>
      </c>
      <c r="K185" s="1" t="s">
        <v>1</v>
      </c>
      <c r="L185" s="1" t="s">
        <v>209</v>
      </c>
    </row>
    <row r="186" spans="1:12" x14ac:dyDescent="0.25">
      <c r="A186" s="1" t="s">
        <v>225</v>
      </c>
      <c r="B186" s="1" t="s">
        <v>5</v>
      </c>
      <c r="C186" s="1">
        <v>3406</v>
      </c>
      <c r="D186" s="1">
        <v>13</v>
      </c>
      <c r="E186" s="1">
        <v>15</v>
      </c>
      <c r="F186" s="1">
        <v>443</v>
      </c>
      <c r="G186" s="7">
        <v>1424.17</v>
      </c>
      <c r="H186" s="1" t="s">
        <v>14</v>
      </c>
      <c r="I186" s="1" t="s">
        <v>13</v>
      </c>
      <c r="J186" s="1" t="s">
        <v>18</v>
      </c>
      <c r="K186" s="1" t="s">
        <v>1</v>
      </c>
      <c r="L186" s="1" t="s">
        <v>209</v>
      </c>
    </row>
    <row r="187" spans="1:12" x14ac:dyDescent="0.25">
      <c r="A187" s="1" t="s">
        <v>224</v>
      </c>
      <c r="B187" s="1" t="s">
        <v>5</v>
      </c>
      <c r="C187" s="1">
        <v>2228</v>
      </c>
      <c r="D187" s="1">
        <v>7</v>
      </c>
      <c r="E187" s="1">
        <v>42</v>
      </c>
      <c r="F187" s="1">
        <v>449</v>
      </c>
      <c r="G187" s="7">
        <v>1967.7</v>
      </c>
      <c r="H187" s="1" t="s">
        <v>29</v>
      </c>
      <c r="I187" s="1" t="s">
        <v>13</v>
      </c>
      <c r="J187" s="1" t="s">
        <v>18</v>
      </c>
      <c r="K187" s="1" t="s">
        <v>7</v>
      </c>
      <c r="L187" s="1" t="s">
        <v>209</v>
      </c>
    </row>
    <row r="188" spans="1:12" x14ac:dyDescent="0.25">
      <c r="A188" s="1" t="s">
        <v>223</v>
      </c>
      <c r="B188" s="1" t="s">
        <v>5</v>
      </c>
      <c r="C188" s="1">
        <v>1386</v>
      </c>
      <c r="D188" s="1">
        <v>17</v>
      </c>
      <c r="E188" s="1">
        <v>7</v>
      </c>
      <c r="F188" s="1">
        <v>79</v>
      </c>
      <c r="G188" s="7">
        <v>2435.7600000000002</v>
      </c>
      <c r="H188" s="1" t="s">
        <v>12</v>
      </c>
      <c r="I188" s="1" t="s">
        <v>13</v>
      </c>
      <c r="J188" s="1" t="s">
        <v>18</v>
      </c>
      <c r="K188" s="1" t="s">
        <v>1</v>
      </c>
      <c r="L188" s="1" t="s">
        <v>209</v>
      </c>
    </row>
    <row r="189" spans="1:12" x14ac:dyDescent="0.25">
      <c r="A189" s="1" t="s">
        <v>222</v>
      </c>
      <c r="B189" s="1" t="s">
        <v>5</v>
      </c>
      <c r="C189" s="1">
        <v>4647</v>
      </c>
      <c r="D189" s="1">
        <v>39</v>
      </c>
      <c r="E189" s="1">
        <v>7</v>
      </c>
      <c r="F189" s="1">
        <v>73</v>
      </c>
      <c r="G189" s="7">
        <v>1549.04</v>
      </c>
      <c r="H189" s="1" t="s">
        <v>12</v>
      </c>
      <c r="I189" s="1" t="s">
        <v>3</v>
      </c>
      <c r="J189" s="1" t="s">
        <v>11</v>
      </c>
      <c r="K189" s="1" t="s">
        <v>7</v>
      </c>
      <c r="L189" s="1" t="s">
        <v>209</v>
      </c>
    </row>
    <row r="190" spans="1:12" x14ac:dyDescent="0.25">
      <c r="A190" s="1" t="s">
        <v>221</v>
      </c>
      <c r="B190" s="1" t="s">
        <v>5</v>
      </c>
      <c r="C190" s="1">
        <v>962</v>
      </c>
      <c r="D190" s="1">
        <v>29</v>
      </c>
      <c r="E190" s="1">
        <v>-1</v>
      </c>
      <c r="F190" s="1">
        <v>58</v>
      </c>
      <c r="G190" s="7">
        <v>594.55999999999995</v>
      </c>
      <c r="H190" s="1" t="s">
        <v>19</v>
      </c>
      <c r="I190" s="1" t="s">
        <v>3</v>
      </c>
      <c r="J190" s="1" t="s">
        <v>18</v>
      </c>
      <c r="K190" s="1" t="s">
        <v>1</v>
      </c>
      <c r="L190" s="1" t="s">
        <v>209</v>
      </c>
    </row>
    <row r="191" spans="1:12" x14ac:dyDescent="0.25">
      <c r="A191" s="1" t="s">
        <v>220</v>
      </c>
      <c r="B191" s="1" t="s">
        <v>5</v>
      </c>
      <c r="C191" s="1">
        <v>795</v>
      </c>
      <c r="D191" s="1">
        <v>43</v>
      </c>
      <c r="E191" s="1">
        <v>15</v>
      </c>
      <c r="F191" s="1">
        <v>217</v>
      </c>
      <c r="G191" s="7">
        <v>2288.5700000000002</v>
      </c>
      <c r="H191" s="1" t="s">
        <v>4</v>
      </c>
      <c r="I191" s="1" t="s">
        <v>3</v>
      </c>
      <c r="J191" s="1" t="s">
        <v>18</v>
      </c>
      <c r="K191" s="1" t="s">
        <v>1</v>
      </c>
      <c r="L191" s="1" t="s">
        <v>209</v>
      </c>
    </row>
    <row r="192" spans="1:12" x14ac:dyDescent="0.25">
      <c r="A192" s="1" t="s">
        <v>219</v>
      </c>
      <c r="B192" s="1" t="s">
        <v>5</v>
      </c>
      <c r="C192" s="1">
        <v>1211</v>
      </c>
      <c r="D192" s="1">
        <v>32</v>
      </c>
      <c r="E192" s="1">
        <v>18</v>
      </c>
      <c r="F192" s="1">
        <v>382</v>
      </c>
      <c r="G192" s="7">
        <v>653.09</v>
      </c>
      <c r="H192" s="1" t="s">
        <v>14</v>
      </c>
      <c r="I192" s="1" t="s">
        <v>3</v>
      </c>
      <c r="J192" s="1" t="s">
        <v>18</v>
      </c>
      <c r="K192" s="1" t="s">
        <v>10</v>
      </c>
      <c r="L192" s="1" t="s">
        <v>209</v>
      </c>
    </row>
    <row r="193" spans="1:12" x14ac:dyDescent="0.25">
      <c r="A193" s="1" t="s">
        <v>218</v>
      </c>
      <c r="B193" s="1" t="s">
        <v>5</v>
      </c>
      <c r="C193" s="1">
        <v>4796</v>
      </c>
      <c r="D193" s="1">
        <v>4</v>
      </c>
      <c r="E193" s="1">
        <v>49</v>
      </c>
      <c r="F193" s="1">
        <v>222</v>
      </c>
      <c r="G193" s="7">
        <v>1543.05</v>
      </c>
      <c r="H193" s="1" t="s">
        <v>29</v>
      </c>
      <c r="I193" s="1" t="s">
        <v>13</v>
      </c>
      <c r="J193" s="1" t="s">
        <v>2</v>
      </c>
      <c r="K193" s="1" t="s">
        <v>7</v>
      </c>
      <c r="L193" s="1" t="s">
        <v>209</v>
      </c>
    </row>
    <row r="194" spans="1:12" x14ac:dyDescent="0.25">
      <c r="A194" s="1" t="s">
        <v>217</v>
      </c>
      <c r="B194" s="1" t="s">
        <v>5</v>
      </c>
      <c r="C194" s="1">
        <v>2675</v>
      </c>
      <c r="D194" s="1">
        <v>34</v>
      </c>
      <c r="E194" s="1">
        <v>18</v>
      </c>
      <c r="F194" s="1">
        <v>374</v>
      </c>
      <c r="G194" s="7">
        <v>1992.62</v>
      </c>
      <c r="H194" s="1" t="s">
        <v>12</v>
      </c>
      <c r="I194" s="1" t="s">
        <v>3</v>
      </c>
      <c r="J194" s="1" t="s">
        <v>18</v>
      </c>
      <c r="K194" s="1" t="s">
        <v>1</v>
      </c>
      <c r="L194" s="1" t="s">
        <v>209</v>
      </c>
    </row>
    <row r="195" spans="1:12" x14ac:dyDescent="0.25">
      <c r="A195" s="1" t="s">
        <v>216</v>
      </c>
      <c r="B195" s="1" t="s">
        <v>5</v>
      </c>
      <c r="C195" s="1">
        <v>3534</v>
      </c>
      <c r="D195" s="1">
        <v>44</v>
      </c>
      <c r="E195" s="1">
        <v>31</v>
      </c>
      <c r="F195" s="1">
        <v>194</v>
      </c>
      <c r="G195" s="7">
        <v>2368.87</v>
      </c>
      <c r="H195" s="1" t="s">
        <v>14</v>
      </c>
      <c r="I195" s="1" t="s">
        <v>3</v>
      </c>
      <c r="J195" s="1" t="s">
        <v>11</v>
      </c>
      <c r="K195" s="1" t="s">
        <v>1</v>
      </c>
      <c r="L195" s="1" t="s">
        <v>209</v>
      </c>
    </row>
    <row r="196" spans="1:12" x14ac:dyDescent="0.25">
      <c r="A196" s="1" t="s">
        <v>215</v>
      </c>
      <c r="B196" s="1" t="s">
        <v>5</v>
      </c>
      <c r="C196" s="1">
        <v>4942</v>
      </c>
      <c r="D196" s="1">
        <v>31</v>
      </c>
      <c r="E196" s="1">
        <v>24</v>
      </c>
      <c r="F196" s="1">
        <v>232</v>
      </c>
      <c r="G196" s="7">
        <v>2298.52</v>
      </c>
      <c r="H196" s="1" t="s">
        <v>14</v>
      </c>
      <c r="I196" s="1" t="s">
        <v>13</v>
      </c>
      <c r="J196" s="1" t="s">
        <v>18</v>
      </c>
      <c r="K196" s="1" t="s">
        <v>7</v>
      </c>
      <c r="L196" s="1" t="s">
        <v>209</v>
      </c>
    </row>
    <row r="197" spans="1:12" x14ac:dyDescent="0.25">
      <c r="A197" s="1" t="s">
        <v>214</v>
      </c>
      <c r="B197" s="1" t="s">
        <v>5</v>
      </c>
      <c r="C197" s="1">
        <v>1575</v>
      </c>
      <c r="D197" s="1">
        <v>20</v>
      </c>
      <c r="E197" s="1">
        <v>37</v>
      </c>
      <c r="F197" s="1">
        <v>71</v>
      </c>
      <c r="G197" s="7">
        <v>762.58</v>
      </c>
      <c r="H197" s="1" t="s">
        <v>19</v>
      </c>
      <c r="I197" s="1" t="s">
        <v>13</v>
      </c>
      <c r="J197" s="1" t="s">
        <v>18</v>
      </c>
      <c r="K197" s="1" t="s">
        <v>1</v>
      </c>
      <c r="L197" s="1" t="s">
        <v>209</v>
      </c>
    </row>
    <row r="198" spans="1:12" x14ac:dyDescent="0.25">
      <c r="A198" s="1" t="s">
        <v>213</v>
      </c>
      <c r="B198" s="1" t="s">
        <v>5</v>
      </c>
      <c r="C198" s="1">
        <v>4287</v>
      </c>
      <c r="D198" s="1">
        <v>40</v>
      </c>
      <c r="E198" s="1">
        <v>0</v>
      </c>
      <c r="F198" s="1">
        <v>60</v>
      </c>
      <c r="G198" s="7">
        <v>1078.19</v>
      </c>
      <c r="H198" s="1" t="s">
        <v>12</v>
      </c>
      <c r="I198" s="1" t="s">
        <v>13</v>
      </c>
      <c r="J198" s="1" t="s">
        <v>11</v>
      </c>
      <c r="K198" s="1" t="s">
        <v>10</v>
      </c>
      <c r="L198" s="1" t="s">
        <v>209</v>
      </c>
    </row>
    <row r="199" spans="1:12" x14ac:dyDescent="0.25">
      <c r="A199" s="1" t="s">
        <v>212</v>
      </c>
      <c r="B199" s="1" t="s">
        <v>5</v>
      </c>
      <c r="C199" s="1">
        <v>2614</v>
      </c>
      <c r="D199" s="1">
        <v>34</v>
      </c>
      <c r="E199" s="1">
        <v>35</v>
      </c>
      <c r="F199" s="1">
        <v>89</v>
      </c>
      <c r="G199" s="7">
        <v>1111.24</v>
      </c>
      <c r="H199" s="1" t="s">
        <v>14</v>
      </c>
      <c r="I199" s="1" t="s">
        <v>3</v>
      </c>
      <c r="J199" s="1" t="s">
        <v>2</v>
      </c>
      <c r="K199" s="1" t="s">
        <v>10</v>
      </c>
      <c r="L199" s="1" t="s">
        <v>209</v>
      </c>
    </row>
    <row r="200" spans="1:12" x14ac:dyDescent="0.25">
      <c r="A200" s="1" t="s">
        <v>211</v>
      </c>
      <c r="B200" s="1" t="s">
        <v>5</v>
      </c>
      <c r="C200" s="1">
        <v>2828</v>
      </c>
      <c r="D200" s="1">
        <v>33</v>
      </c>
      <c r="E200" s="1">
        <v>2</v>
      </c>
      <c r="F200" s="1">
        <v>395</v>
      </c>
      <c r="G200" s="7">
        <v>353.89</v>
      </c>
      <c r="H200" s="1" t="s">
        <v>25</v>
      </c>
      <c r="I200" s="1" t="s">
        <v>13</v>
      </c>
      <c r="J200" s="1" t="s">
        <v>18</v>
      </c>
      <c r="K200" s="1" t="s">
        <v>10</v>
      </c>
      <c r="L200" s="1" t="s">
        <v>209</v>
      </c>
    </row>
    <row r="201" spans="1:12" x14ac:dyDescent="0.25">
      <c r="A201" s="1" t="s">
        <v>210</v>
      </c>
      <c r="B201" s="1" t="s">
        <v>5</v>
      </c>
      <c r="C201" s="1">
        <v>2257</v>
      </c>
      <c r="D201" s="1">
        <v>13</v>
      </c>
      <c r="E201" s="1">
        <v>29</v>
      </c>
      <c r="F201" s="1">
        <v>371</v>
      </c>
      <c r="G201" s="7">
        <v>689.53</v>
      </c>
      <c r="H201" s="1" t="s">
        <v>12</v>
      </c>
      <c r="I201" s="1" t="s">
        <v>3</v>
      </c>
      <c r="J201" s="1" t="s">
        <v>18</v>
      </c>
      <c r="K201" s="1" t="s">
        <v>1</v>
      </c>
      <c r="L201" s="1" t="s">
        <v>209</v>
      </c>
    </row>
    <row r="202" spans="1:12" x14ac:dyDescent="0.25">
      <c r="A202" s="1" t="s">
        <v>208</v>
      </c>
      <c r="B202" s="1" t="s">
        <v>5</v>
      </c>
      <c r="C202" s="1">
        <v>995</v>
      </c>
      <c r="D202" s="1">
        <v>20</v>
      </c>
      <c r="E202" s="1">
        <v>28</v>
      </c>
      <c r="F202" s="1">
        <v>65</v>
      </c>
      <c r="G202" s="7">
        <v>2007.41</v>
      </c>
      <c r="H202" s="1" t="s">
        <v>14</v>
      </c>
      <c r="I202" s="1" t="s">
        <v>13</v>
      </c>
      <c r="J202" s="1" t="s">
        <v>18</v>
      </c>
      <c r="K202" s="1" t="s">
        <v>10</v>
      </c>
      <c r="L202" s="1" t="s">
        <v>162</v>
      </c>
    </row>
    <row r="203" spans="1:12" x14ac:dyDescent="0.25">
      <c r="A203" s="1" t="s">
        <v>207</v>
      </c>
      <c r="B203" s="1" t="s">
        <v>5</v>
      </c>
      <c r="C203" s="1">
        <v>2681</v>
      </c>
      <c r="D203" s="1">
        <v>19</v>
      </c>
      <c r="E203" s="1">
        <v>46</v>
      </c>
      <c r="F203" s="1">
        <v>214</v>
      </c>
      <c r="G203" s="7">
        <v>2004.27</v>
      </c>
      <c r="H203" s="1" t="s">
        <v>14</v>
      </c>
      <c r="I203" s="1" t="s">
        <v>13</v>
      </c>
      <c r="J203" s="1" t="s">
        <v>11</v>
      </c>
      <c r="K203" s="1" t="s">
        <v>17</v>
      </c>
      <c r="L203" s="1" t="s">
        <v>162</v>
      </c>
    </row>
    <row r="204" spans="1:12" x14ac:dyDescent="0.25">
      <c r="A204" s="1" t="s">
        <v>206</v>
      </c>
      <c r="B204" s="1" t="s">
        <v>5</v>
      </c>
      <c r="C204" s="1">
        <v>2434</v>
      </c>
      <c r="D204" s="1">
        <v>16</v>
      </c>
      <c r="E204" s="1">
        <v>40</v>
      </c>
      <c r="F204" s="1">
        <v>307</v>
      </c>
      <c r="G204" s="7">
        <v>324.2</v>
      </c>
      <c r="H204" s="1" t="s">
        <v>14</v>
      </c>
      <c r="I204" s="1" t="s">
        <v>13</v>
      </c>
      <c r="J204" s="1" t="s">
        <v>18</v>
      </c>
      <c r="K204" s="1" t="s">
        <v>10</v>
      </c>
      <c r="L204" s="1" t="s">
        <v>162</v>
      </c>
    </row>
    <row r="205" spans="1:12" x14ac:dyDescent="0.25">
      <c r="A205" s="1" t="s">
        <v>205</v>
      </c>
      <c r="B205" s="1" t="s">
        <v>5</v>
      </c>
      <c r="C205" s="1">
        <v>1171</v>
      </c>
      <c r="D205" s="1">
        <v>44</v>
      </c>
      <c r="E205" s="1">
        <v>5</v>
      </c>
      <c r="F205" s="1">
        <v>77</v>
      </c>
      <c r="G205" s="7">
        <v>1535.02</v>
      </c>
      <c r="H205" s="1" t="s">
        <v>29</v>
      </c>
      <c r="I205" s="1" t="s">
        <v>13</v>
      </c>
      <c r="J205" s="1" t="s">
        <v>18</v>
      </c>
      <c r="K205" s="1" t="s">
        <v>17</v>
      </c>
      <c r="L205" s="1" t="s">
        <v>162</v>
      </c>
    </row>
    <row r="206" spans="1:12" x14ac:dyDescent="0.25">
      <c r="A206" s="1" t="s">
        <v>204</v>
      </c>
      <c r="B206" s="1" t="s">
        <v>5</v>
      </c>
      <c r="C206" s="1">
        <v>2404</v>
      </c>
      <c r="D206" s="1">
        <v>6</v>
      </c>
      <c r="E206" s="1">
        <v>2</v>
      </c>
      <c r="F206" s="1">
        <v>278</v>
      </c>
      <c r="G206" s="7">
        <v>332.53</v>
      </c>
      <c r="H206" s="1" t="s">
        <v>29</v>
      </c>
      <c r="I206" s="1" t="s">
        <v>13</v>
      </c>
      <c r="J206" s="1" t="s">
        <v>8</v>
      </c>
      <c r="K206" s="1" t="s">
        <v>7</v>
      </c>
      <c r="L206" s="1" t="s">
        <v>162</v>
      </c>
    </row>
    <row r="207" spans="1:12" x14ac:dyDescent="0.25">
      <c r="A207" s="1" t="s">
        <v>203</v>
      </c>
      <c r="B207" s="1" t="s">
        <v>5</v>
      </c>
      <c r="C207" s="1">
        <v>2748</v>
      </c>
      <c r="D207" s="1">
        <v>40</v>
      </c>
      <c r="E207" s="1">
        <v>43</v>
      </c>
      <c r="F207" s="1">
        <v>265</v>
      </c>
      <c r="G207" s="7">
        <v>1000.74</v>
      </c>
      <c r="H207" s="1" t="s">
        <v>14</v>
      </c>
      <c r="I207" s="1" t="s">
        <v>3</v>
      </c>
      <c r="J207" s="1" t="s">
        <v>11</v>
      </c>
      <c r="K207" s="1" t="s">
        <v>17</v>
      </c>
      <c r="L207" s="1" t="s">
        <v>162</v>
      </c>
    </row>
    <row r="208" spans="1:12" x14ac:dyDescent="0.25">
      <c r="A208" s="1" t="s">
        <v>202</v>
      </c>
      <c r="B208" s="1" t="s">
        <v>5</v>
      </c>
      <c r="C208" s="1">
        <v>1056</v>
      </c>
      <c r="D208" s="1">
        <v>20</v>
      </c>
      <c r="E208" s="1">
        <v>28</v>
      </c>
      <c r="F208" s="1">
        <v>53</v>
      </c>
      <c r="G208" s="7">
        <v>883.01</v>
      </c>
      <c r="H208" s="1" t="s">
        <v>19</v>
      </c>
      <c r="I208" s="1" t="s">
        <v>13</v>
      </c>
      <c r="J208" s="1" t="s">
        <v>18</v>
      </c>
      <c r="K208" s="1" t="s">
        <v>10</v>
      </c>
      <c r="L208" s="1" t="s">
        <v>162</v>
      </c>
    </row>
    <row r="209" spans="1:12" x14ac:dyDescent="0.25">
      <c r="A209" s="1" t="s">
        <v>201</v>
      </c>
      <c r="B209" s="1" t="s">
        <v>5</v>
      </c>
      <c r="C209" s="1">
        <v>4965</v>
      </c>
      <c r="D209" s="1">
        <v>9</v>
      </c>
      <c r="E209" s="1">
        <v>4</v>
      </c>
      <c r="F209" s="1">
        <v>382</v>
      </c>
      <c r="G209" s="7">
        <v>2465.5</v>
      </c>
      <c r="H209" s="1" t="s">
        <v>12</v>
      </c>
      <c r="I209" s="1" t="s">
        <v>13</v>
      </c>
      <c r="J209" s="1" t="s">
        <v>18</v>
      </c>
      <c r="K209" s="1" t="s">
        <v>15</v>
      </c>
      <c r="L209" s="1" t="s">
        <v>162</v>
      </c>
    </row>
    <row r="210" spans="1:12" x14ac:dyDescent="0.25">
      <c r="A210" s="1" t="s">
        <v>200</v>
      </c>
      <c r="B210" s="1" t="s">
        <v>5</v>
      </c>
      <c r="C210" s="1">
        <v>2784</v>
      </c>
      <c r="D210" s="1">
        <v>27</v>
      </c>
      <c r="E210" s="1">
        <v>11</v>
      </c>
      <c r="F210" s="1">
        <v>82</v>
      </c>
      <c r="G210" s="7">
        <v>549.61</v>
      </c>
      <c r="H210" s="1" t="s">
        <v>14</v>
      </c>
      <c r="I210" s="1" t="s">
        <v>13</v>
      </c>
      <c r="J210" s="1" t="s">
        <v>18</v>
      </c>
      <c r="K210" s="1" t="s">
        <v>1</v>
      </c>
      <c r="L210" s="1" t="s">
        <v>162</v>
      </c>
    </row>
    <row r="211" spans="1:12" x14ac:dyDescent="0.25">
      <c r="A211" s="1" t="s">
        <v>199</v>
      </c>
      <c r="B211" s="1" t="s">
        <v>5</v>
      </c>
      <c r="C211" s="1">
        <v>2504</v>
      </c>
      <c r="D211" s="1">
        <v>24</v>
      </c>
      <c r="E211" s="1">
        <v>11</v>
      </c>
      <c r="F211" s="1">
        <v>259</v>
      </c>
      <c r="G211" s="7">
        <v>1594.89</v>
      </c>
      <c r="H211" s="1" t="s">
        <v>12</v>
      </c>
      <c r="I211" s="1" t="s">
        <v>13</v>
      </c>
      <c r="J211" s="1" t="s">
        <v>2</v>
      </c>
      <c r="K211" s="1" t="s">
        <v>21</v>
      </c>
      <c r="L211" s="1" t="s">
        <v>162</v>
      </c>
    </row>
    <row r="212" spans="1:12" x14ac:dyDescent="0.25">
      <c r="A212" s="1" t="s">
        <v>198</v>
      </c>
      <c r="B212" s="1" t="s">
        <v>5</v>
      </c>
      <c r="C212" s="1">
        <v>4558</v>
      </c>
      <c r="D212" s="1">
        <v>6</v>
      </c>
      <c r="E212" s="1">
        <v>48</v>
      </c>
      <c r="F212" s="1">
        <v>322</v>
      </c>
      <c r="G212" s="7">
        <v>2370.3200000000002</v>
      </c>
      <c r="H212" s="1" t="s">
        <v>12</v>
      </c>
      <c r="I212" s="1" t="s">
        <v>13</v>
      </c>
      <c r="J212" s="1" t="s">
        <v>11</v>
      </c>
      <c r="K212" s="1" t="s">
        <v>10</v>
      </c>
      <c r="L212" s="1" t="s">
        <v>162</v>
      </c>
    </row>
    <row r="213" spans="1:12" x14ac:dyDescent="0.25">
      <c r="A213" s="1" t="s">
        <v>197</v>
      </c>
      <c r="B213" s="1" t="s">
        <v>5</v>
      </c>
      <c r="C213" s="1">
        <v>3574</v>
      </c>
      <c r="D213" s="1">
        <v>38</v>
      </c>
      <c r="E213" s="1">
        <v>1</v>
      </c>
      <c r="F213" s="1">
        <v>96</v>
      </c>
      <c r="G213" s="7">
        <v>2224.75</v>
      </c>
      <c r="H213" s="1" t="s">
        <v>12</v>
      </c>
      <c r="I213" s="1" t="s">
        <v>3</v>
      </c>
      <c r="J213" s="1" t="s">
        <v>11</v>
      </c>
      <c r="K213" s="1" t="s">
        <v>10</v>
      </c>
      <c r="L213" s="1" t="s">
        <v>162</v>
      </c>
    </row>
    <row r="214" spans="1:12" x14ac:dyDescent="0.25">
      <c r="A214" s="1" t="s">
        <v>196</v>
      </c>
      <c r="B214" s="1" t="s">
        <v>165</v>
      </c>
      <c r="C214" s="1">
        <v>1317</v>
      </c>
      <c r="D214" s="1">
        <v>29</v>
      </c>
      <c r="E214" s="1">
        <v>6</v>
      </c>
      <c r="F214" s="1">
        <v>35</v>
      </c>
      <c r="G214" s="7">
        <v>990.5</v>
      </c>
      <c r="H214" s="1" t="s">
        <v>14</v>
      </c>
      <c r="I214" s="1" t="s">
        <v>13</v>
      </c>
      <c r="J214" s="1" t="s">
        <v>18</v>
      </c>
      <c r="K214" s="1" t="s">
        <v>1</v>
      </c>
      <c r="L214" s="1" t="s">
        <v>162</v>
      </c>
    </row>
    <row r="215" spans="1:12" x14ac:dyDescent="0.25">
      <c r="A215" s="1" t="s">
        <v>195</v>
      </c>
      <c r="B215" s="1" t="s">
        <v>165</v>
      </c>
      <c r="C215" s="1">
        <v>4297</v>
      </c>
      <c r="D215" s="1">
        <v>41</v>
      </c>
      <c r="E215" s="1">
        <v>39</v>
      </c>
      <c r="F215" s="1">
        <v>33</v>
      </c>
      <c r="G215" s="7">
        <v>991.13</v>
      </c>
      <c r="H215" s="1" t="s">
        <v>12</v>
      </c>
      <c r="I215" s="1" t="s">
        <v>3</v>
      </c>
      <c r="J215" s="1" t="s">
        <v>18</v>
      </c>
      <c r="K215" s="1" t="s">
        <v>21</v>
      </c>
      <c r="L215" s="1" t="s">
        <v>162</v>
      </c>
    </row>
    <row r="216" spans="1:12" x14ac:dyDescent="0.25">
      <c r="A216" s="1" t="s">
        <v>194</v>
      </c>
      <c r="B216" s="1" t="s">
        <v>165</v>
      </c>
      <c r="C216" s="1">
        <v>3183</v>
      </c>
      <c r="D216" s="1">
        <v>33</v>
      </c>
      <c r="E216" s="1">
        <v>17</v>
      </c>
      <c r="F216" s="1">
        <v>61</v>
      </c>
      <c r="G216" s="7">
        <v>1421.68</v>
      </c>
      <c r="H216" s="1" t="s">
        <v>14</v>
      </c>
      <c r="I216" s="1" t="s">
        <v>13</v>
      </c>
      <c r="J216" s="1" t="s">
        <v>18</v>
      </c>
      <c r="K216" s="1" t="s">
        <v>7</v>
      </c>
      <c r="L216" s="1" t="s">
        <v>162</v>
      </c>
    </row>
    <row r="217" spans="1:12" x14ac:dyDescent="0.25">
      <c r="A217" s="1" t="s">
        <v>193</v>
      </c>
      <c r="B217" s="1" t="s">
        <v>165</v>
      </c>
      <c r="C217" s="1">
        <v>1944</v>
      </c>
      <c r="D217" s="1">
        <v>9</v>
      </c>
      <c r="E217" s="1">
        <v>15</v>
      </c>
      <c r="F217" s="1">
        <v>75</v>
      </c>
      <c r="G217" s="7">
        <v>554.15</v>
      </c>
      <c r="H217" s="1" t="s">
        <v>14</v>
      </c>
      <c r="I217" s="1" t="s">
        <v>3</v>
      </c>
      <c r="J217" s="1" t="s">
        <v>18</v>
      </c>
      <c r="K217" s="1" t="s">
        <v>7</v>
      </c>
      <c r="L217" s="1" t="s">
        <v>162</v>
      </c>
    </row>
    <row r="218" spans="1:12" x14ac:dyDescent="0.25">
      <c r="A218" s="1" t="s">
        <v>192</v>
      </c>
      <c r="B218" s="1" t="s">
        <v>165</v>
      </c>
      <c r="C218" s="1">
        <v>529</v>
      </c>
      <c r="D218" s="1">
        <v>33</v>
      </c>
      <c r="E218" s="1">
        <v>39</v>
      </c>
      <c r="F218" s="1">
        <v>21</v>
      </c>
      <c r="G218" s="7">
        <v>798.55</v>
      </c>
      <c r="H218" s="1" t="s">
        <v>14</v>
      </c>
      <c r="I218" s="1" t="s">
        <v>13</v>
      </c>
      <c r="J218" s="1" t="s">
        <v>8</v>
      </c>
      <c r="K218" s="1" t="s">
        <v>15</v>
      </c>
      <c r="L218" s="1" t="s">
        <v>162</v>
      </c>
    </row>
    <row r="219" spans="1:12" x14ac:dyDescent="0.25">
      <c r="A219" s="1" t="s">
        <v>191</v>
      </c>
      <c r="B219" s="1" t="s">
        <v>165</v>
      </c>
      <c r="C219" s="1">
        <v>4122</v>
      </c>
      <c r="D219" s="1">
        <v>13</v>
      </c>
      <c r="E219" s="1">
        <v>14</v>
      </c>
      <c r="F219" s="1">
        <v>277</v>
      </c>
      <c r="G219" s="7">
        <v>1033.19</v>
      </c>
      <c r="H219" s="1" t="s">
        <v>4</v>
      </c>
      <c r="I219" s="1" t="s">
        <v>13</v>
      </c>
      <c r="J219" s="1" t="s">
        <v>2</v>
      </c>
      <c r="K219" s="1" t="s">
        <v>1</v>
      </c>
      <c r="L219" s="1" t="s">
        <v>162</v>
      </c>
    </row>
    <row r="220" spans="1:12" x14ac:dyDescent="0.25">
      <c r="A220" s="1" t="s">
        <v>190</v>
      </c>
      <c r="B220" s="1" t="s">
        <v>165</v>
      </c>
      <c r="C220" s="1">
        <v>4094</v>
      </c>
      <c r="D220" s="1">
        <v>3</v>
      </c>
      <c r="E220" s="1">
        <v>42</v>
      </c>
      <c r="F220" s="1">
        <v>261</v>
      </c>
      <c r="G220" s="7">
        <v>1492.19</v>
      </c>
      <c r="H220" s="1" t="s">
        <v>14</v>
      </c>
      <c r="I220" s="1" t="s">
        <v>13</v>
      </c>
      <c r="J220" s="1" t="s">
        <v>11</v>
      </c>
      <c r="K220" s="1" t="s">
        <v>17</v>
      </c>
      <c r="L220" s="1" t="s">
        <v>162</v>
      </c>
    </row>
    <row r="221" spans="1:12" x14ac:dyDescent="0.25">
      <c r="A221" s="1" t="s">
        <v>189</v>
      </c>
      <c r="B221" s="1" t="s">
        <v>165</v>
      </c>
      <c r="C221" s="1">
        <v>4297</v>
      </c>
      <c r="D221" s="1">
        <v>30</v>
      </c>
      <c r="E221" s="1">
        <v>24</v>
      </c>
      <c r="F221" s="1">
        <v>42</v>
      </c>
      <c r="G221" s="7">
        <v>2464.4499999999998</v>
      </c>
      <c r="H221" s="1" t="s">
        <v>4</v>
      </c>
      <c r="I221" s="1" t="s">
        <v>13</v>
      </c>
      <c r="J221" s="1" t="s">
        <v>18</v>
      </c>
      <c r="K221" s="1" t="s">
        <v>1</v>
      </c>
      <c r="L221" s="1" t="s">
        <v>162</v>
      </c>
    </row>
    <row r="222" spans="1:12" x14ac:dyDescent="0.25">
      <c r="A222" s="1" t="s">
        <v>188</v>
      </c>
      <c r="B222" s="1" t="s">
        <v>165</v>
      </c>
      <c r="C222" s="1">
        <v>624</v>
      </c>
      <c r="D222" s="1">
        <v>27</v>
      </c>
      <c r="E222" s="1">
        <v>40</v>
      </c>
      <c r="F222" s="1">
        <v>230</v>
      </c>
      <c r="G222" s="7">
        <v>1933.03</v>
      </c>
      <c r="H222" s="1" t="s">
        <v>25</v>
      </c>
      <c r="I222" s="1" t="s">
        <v>3</v>
      </c>
      <c r="J222" s="1" t="s">
        <v>11</v>
      </c>
      <c r="K222" s="1" t="s">
        <v>7</v>
      </c>
      <c r="L222" s="1" t="s">
        <v>162</v>
      </c>
    </row>
    <row r="223" spans="1:12" x14ac:dyDescent="0.25">
      <c r="A223" s="1" t="s">
        <v>187</v>
      </c>
      <c r="B223" s="1" t="s">
        <v>165</v>
      </c>
      <c r="C223" s="1">
        <v>4592</v>
      </c>
      <c r="D223" s="1">
        <v>7</v>
      </c>
      <c r="E223" s="1">
        <v>18</v>
      </c>
      <c r="F223" s="1">
        <v>267</v>
      </c>
      <c r="G223" s="7">
        <v>1345.72</v>
      </c>
      <c r="H223" s="1" t="s">
        <v>14</v>
      </c>
      <c r="I223" s="1" t="s">
        <v>13</v>
      </c>
      <c r="J223" s="1" t="s">
        <v>18</v>
      </c>
      <c r="K223" s="1" t="s">
        <v>7</v>
      </c>
      <c r="L223" s="1" t="s">
        <v>162</v>
      </c>
    </row>
    <row r="224" spans="1:12" x14ac:dyDescent="0.25">
      <c r="A224" s="1" t="s">
        <v>186</v>
      </c>
      <c r="B224" s="1" t="s">
        <v>165</v>
      </c>
      <c r="C224" s="1">
        <v>2873</v>
      </c>
      <c r="D224" s="1">
        <v>21</v>
      </c>
      <c r="E224" s="1">
        <v>42</v>
      </c>
      <c r="F224" s="1">
        <v>388</v>
      </c>
      <c r="G224" s="7">
        <v>861.37</v>
      </c>
      <c r="H224" s="1" t="s">
        <v>19</v>
      </c>
      <c r="I224" s="1" t="s">
        <v>13</v>
      </c>
      <c r="J224" s="1" t="s">
        <v>11</v>
      </c>
      <c r="K224" s="1" t="s">
        <v>10</v>
      </c>
      <c r="L224" s="1" t="s">
        <v>162</v>
      </c>
    </row>
    <row r="225" spans="1:12" x14ac:dyDescent="0.25">
      <c r="A225" s="1" t="s">
        <v>185</v>
      </c>
      <c r="B225" s="1" t="s">
        <v>165</v>
      </c>
      <c r="C225" s="1">
        <v>2186</v>
      </c>
      <c r="D225" s="1">
        <v>3</v>
      </c>
      <c r="E225" s="1">
        <v>42</v>
      </c>
      <c r="F225" s="1">
        <v>346</v>
      </c>
      <c r="G225" s="7">
        <v>1092.08</v>
      </c>
      <c r="H225" s="1" t="s">
        <v>29</v>
      </c>
      <c r="I225" s="1" t="s">
        <v>3</v>
      </c>
      <c r="J225" s="1" t="s">
        <v>8</v>
      </c>
      <c r="K225" s="1" t="s">
        <v>21</v>
      </c>
      <c r="L225" s="1" t="s">
        <v>162</v>
      </c>
    </row>
    <row r="226" spans="1:12" x14ac:dyDescent="0.25">
      <c r="A226" s="1" t="s">
        <v>184</v>
      </c>
      <c r="B226" s="1" t="s">
        <v>165</v>
      </c>
      <c r="C226" s="1">
        <v>2154</v>
      </c>
      <c r="D226" s="1">
        <v>9</v>
      </c>
      <c r="E226" s="1">
        <v>8</v>
      </c>
      <c r="F226" s="1">
        <v>295</v>
      </c>
      <c r="G226" s="7">
        <v>1684.46</v>
      </c>
      <c r="H226" s="1" t="s">
        <v>14</v>
      </c>
      <c r="I226" s="1" t="s">
        <v>3</v>
      </c>
      <c r="J226" s="1" t="s">
        <v>18</v>
      </c>
      <c r="K226" s="1" t="s">
        <v>10</v>
      </c>
      <c r="L226" s="1" t="s">
        <v>162</v>
      </c>
    </row>
    <row r="227" spans="1:12" x14ac:dyDescent="0.25">
      <c r="A227" s="1" t="s">
        <v>183</v>
      </c>
      <c r="B227" s="1" t="s">
        <v>165</v>
      </c>
      <c r="C227" s="1">
        <v>2487</v>
      </c>
      <c r="D227" s="1">
        <v>21</v>
      </c>
      <c r="E227" s="1">
        <v>15</v>
      </c>
      <c r="F227" s="1">
        <v>204</v>
      </c>
      <c r="G227" s="7">
        <v>1947.52</v>
      </c>
      <c r="H227" s="1" t="s">
        <v>12</v>
      </c>
      <c r="I227" s="1" t="s">
        <v>13</v>
      </c>
      <c r="J227" s="1" t="s">
        <v>18</v>
      </c>
      <c r="K227" s="1" t="s">
        <v>15</v>
      </c>
      <c r="L227" s="1" t="s">
        <v>162</v>
      </c>
    </row>
    <row r="228" spans="1:12" x14ac:dyDescent="0.25">
      <c r="A228" s="1" t="s">
        <v>182</v>
      </c>
      <c r="B228" s="1" t="s">
        <v>165</v>
      </c>
      <c r="C228" s="1">
        <v>2652</v>
      </c>
      <c r="D228" s="1">
        <v>9</v>
      </c>
      <c r="E228" s="1">
        <v>39</v>
      </c>
      <c r="F228" s="1">
        <v>407</v>
      </c>
      <c r="G228" s="7">
        <v>1823.09</v>
      </c>
      <c r="H228" s="1" t="s">
        <v>19</v>
      </c>
      <c r="I228" s="1" t="s">
        <v>3</v>
      </c>
      <c r="J228" s="1" t="s">
        <v>11</v>
      </c>
      <c r="K228" s="1" t="s">
        <v>10</v>
      </c>
      <c r="L228" s="1" t="s">
        <v>162</v>
      </c>
    </row>
    <row r="229" spans="1:12" x14ac:dyDescent="0.25">
      <c r="A229" s="1" t="s">
        <v>181</v>
      </c>
      <c r="B229" s="1" t="s">
        <v>165</v>
      </c>
      <c r="C229" s="1">
        <v>2058</v>
      </c>
      <c r="D229" s="1">
        <v>44</v>
      </c>
      <c r="E229" s="1">
        <v>24</v>
      </c>
      <c r="F229" s="1">
        <v>144</v>
      </c>
      <c r="G229" s="7">
        <v>1520.75</v>
      </c>
      <c r="H229" s="1" t="s">
        <v>25</v>
      </c>
      <c r="I229" s="1" t="s">
        <v>3</v>
      </c>
      <c r="J229" s="1" t="s">
        <v>11</v>
      </c>
      <c r="K229" s="1" t="s">
        <v>1</v>
      </c>
      <c r="L229" s="1" t="s">
        <v>162</v>
      </c>
    </row>
    <row r="230" spans="1:12" x14ac:dyDescent="0.25">
      <c r="A230" s="1" t="s">
        <v>180</v>
      </c>
      <c r="B230" s="1" t="s">
        <v>165</v>
      </c>
      <c r="C230" s="1">
        <v>3553</v>
      </c>
      <c r="D230" s="1">
        <v>10</v>
      </c>
      <c r="E230" s="1">
        <v>19</v>
      </c>
      <c r="F230" s="1">
        <v>279</v>
      </c>
      <c r="G230" s="7">
        <v>1658.77</v>
      </c>
      <c r="H230" s="1" t="s">
        <v>12</v>
      </c>
      <c r="I230" s="1" t="s">
        <v>3</v>
      </c>
      <c r="J230" s="1" t="s">
        <v>18</v>
      </c>
      <c r="K230" s="1" t="s">
        <v>1</v>
      </c>
      <c r="L230" s="1" t="s">
        <v>162</v>
      </c>
    </row>
    <row r="231" spans="1:12" x14ac:dyDescent="0.25">
      <c r="A231" s="1" t="s">
        <v>179</v>
      </c>
      <c r="B231" s="1" t="s">
        <v>165</v>
      </c>
      <c r="C231" s="1">
        <v>1129</v>
      </c>
      <c r="D231" s="1">
        <v>8</v>
      </c>
      <c r="E231" s="1">
        <v>41</v>
      </c>
      <c r="F231" s="1">
        <v>231</v>
      </c>
      <c r="G231" s="7">
        <v>1676.51</v>
      </c>
      <c r="H231" s="1" t="s">
        <v>14</v>
      </c>
      <c r="I231" s="1" t="s">
        <v>3</v>
      </c>
      <c r="J231" s="1" t="s">
        <v>18</v>
      </c>
      <c r="K231" s="1" t="s">
        <v>7</v>
      </c>
      <c r="L231" s="1" t="s">
        <v>162</v>
      </c>
    </row>
    <row r="232" spans="1:12" x14ac:dyDescent="0.25">
      <c r="A232" s="1" t="s">
        <v>178</v>
      </c>
      <c r="B232" s="1" t="s">
        <v>165</v>
      </c>
      <c r="C232" s="1">
        <v>1172</v>
      </c>
      <c r="D232" s="1">
        <v>39</v>
      </c>
      <c r="E232" s="1">
        <v>22</v>
      </c>
      <c r="F232" s="1">
        <v>388</v>
      </c>
      <c r="G232" s="7">
        <v>490.71</v>
      </c>
      <c r="H232" s="1" t="s">
        <v>14</v>
      </c>
      <c r="I232" s="1" t="s">
        <v>13</v>
      </c>
      <c r="J232" s="1" t="s">
        <v>11</v>
      </c>
      <c r="K232" s="1" t="s">
        <v>10</v>
      </c>
      <c r="L232" s="1" t="s">
        <v>162</v>
      </c>
    </row>
    <row r="233" spans="1:12" x14ac:dyDescent="0.25">
      <c r="A233" s="1" t="s">
        <v>177</v>
      </c>
      <c r="B233" s="1" t="s">
        <v>165</v>
      </c>
      <c r="C233" s="1">
        <v>920</v>
      </c>
      <c r="D233" s="1">
        <v>42</v>
      </c>
      <c r="E233" s="1">
        <v>11</v>
      </c>
      <c r="F233" s="1">
        <v>135</v>
      </c>
      <c r="G233" s="7">
        <v>692.58</v>
      </c>
      <c r="H233" s="1" t="s">
        <v>4</v>
      </c>
      <c r="I233" s="1" t="s">
        <v>13</v>
      </c>
      <c r="J233" s="1" t="s">
        <v>11</v>
      </c>
      <c r="K233" s="1" t="s">
        <v>10</v>
      </c>
      <c r="L233" s="1" t="s">
        <v>162</v>
      </c>
    </row>
    <row r="234" spans="1:12" x14ac:dyDescent="0.25">
      <c r="A234" s="1" t="s">
        <v>176</v>
      </c>
      <c r="B234" s="1" t="s">
        <v>165</v>
      </c>
      <c r="C234" s="1">
        <v>2451</v>
      </c>
      <c r="D234" s="1">
        <v>25</v>
      </c>
      <c r="E234" s="1">
        <v>43</v>
      </c>
      <c r="F234" s="1">
        <v>171</v>
      </c>
      <c r="G234" s="7">
        <v>8</v>
      </c>
      <c r="H234" s="1" t="s">
        <v>12</v>
      </c>
      <c r="I234" s="1" t="s">
        <v>13</v>
      </c>
      <c r="J234" s="1" t="s">
        <v>18</v>
      </c>
      <c r="K234" s="1" t="s">
        <v>10</v>
      </c>
      <c r="L234" s="1" t="s">
        <v>162</v>
      </c>
    </row>
    <row r="235" spans="1:12" x14ac:dyDescent="0.25">
      <c r="A235" s="1" t="s">
        <v>175</v>
      </c>
      <c r="B235" s="1" t="s">
        <v>165</v>
      </c>
      <c r="C235" s="1">
        <v>2803</v>
      </c>
      <c r="D235" s="1">
        <v>26</v>
      </c>
      <c r="E235" s="1">
        <v>25</v>
      </c>
      <c r="F235" s="1">
        <v>145</v>
      </c>
      <c r="G235" s="7">
        <v>1128.8</v>
      </c>
      <c r="H235" s="1" t="s">
        <v>19</v>
      </c>
      <c r="I235" s="1" t="s">
        <v>13</v>
      </c>
      <c r="J235" s="1" t="s">
        <v>11</v>
      </c>
      <c r="K235" s="1" t="s">
        <v>7</v>
      </c>
      <c r="L235" s="1" t="s">
        <v>162</v>
      </c>
    </row>
    <row r="236" spans="1:12" x14ac:dyDescent="0.25">
      <c r="A236" s="1" t="s">
        <v>174</v>
      </c>
      <c r="B236" s="1" t="s">
        <v>165</v>
      </c>
      <c r="C236" s="1">
        <v>3450</v>
      </c>
      <c r="D236" s="1">
        <v>3</v>
      </c>
      <c r="E236" s="1">
        <v>-4</v>
      </c>
      <c r="F236" s="1">
        <v>314</v>
      </c>
      <c r="G236" s="7">
        <v>1128.75</v>
      </c>
      <c r="H236" s="1" t="s">
        <v>14</v>
      </c>
      <c r="I236" s="1" t="s">
        <v>3</v>
      </c>
      <c r="J236" s="1" t="s">
        <v>18</v>
      </c>
      <c r="K236" s="1" t="s">
        <v>15</v>
      </c>
      <c r="L236" s="1" t="s">
        <v>162</v>
      </c>
    </row>
    <row r="237" spans="1:12" x14ac:dyDescent="0.25">
      <c r="A237" s="1" t="s">
        <v>173</v>
      </c>
      <c r="B237" s="1" t="s">
        <v>165</v>
      </c>
      <c r="C237" s="1">
        <v>2029</v>
      </c>
      <c r="D237" s="1">
        <v>37</v>
      </c>
      <c r="E237" s="1">
        <v>46</v>
      </c>
      <c r="F237" s="1">
        <v>390</v>
      </c>
      <c r="G237" s="7">
        <v>1213.3399999999999</v>
      </c>
      <c r="H237" s="1" t="s">
        <v>14</v>
      </c>
      <c r="I237" s="1" t="s">
        <v>13</v>
      </c>
      <c r="J237" s="1" t="s">
        <v>8</v>
      </c>
      <c r="K237" s="1" t="s">
        <v>7</v>
      </c>
      <c r="L237" s="1" t="s">
        <v>162</v>
      </c>
    </row>
    <row r="238" spans="1:12" x14ac:dyDescent="0.25">
      <c r="A238" s="1" t="s">
        <v>172</v>
      </c>
      <c r="B238" s="1" t="s">
        <v>165</v>
      </c>
      <c r="C238" s="1">
        <v>4654</v>
      </c>
      <c r="D238" s="1">
        <v>27</v>
      </c>
      <c r="E238" s="1">
        <v>39</v>
      </c>
      <c r="F238" s="1">
        <v>360</v>
      </c>
      <c r="G238" s="7">
        <v>1773.79</v>
      </c>
      <c r="H238" s="1" t="s">
        <v>12</v>
      </c>
      <c r="I238" s="1" t="s">
        <v>3</v>
      </c>
      <c r="J238" s="1" t="s">
        <v>18</v>
      </c>
      <c r="K238" s="1" t="s">
        <v>7</v>
      </c>
      <c r="L238" s="1" t="s">
        <v>162</v>
      </c>
    </row>
    <row r="239" spans="1:12" x14ac:dyDescent="0.25">
      <c r="A239" s="1" t="s">
        <v>171</v>
      </c>
      <c r="B239" s="1" t="s">
        <v>165</v>
      </c>
      <c r="C239" s="1">
        <v>1002</v>
      </c>
      <c r="D239" s="1">
        <v>42</v>
      </c>
      <c r="E239" s="1">
        <v>27</v>
      </c>
      <c r="F239" s="1">
        <v>386</v>
      </c>
      <c r="G239" s="7">
        <v>503.89</v>
      </c>
      <c r="H239" s="1" t="s">
        <v>14</v>
      </c>
      <c r="I239" s="1" t="s">
        <v>3</v>
      </c>
      <c r="J239" s="1" t="s">
        <v>18</v>
      </c>
      <c r="K239" s="1" t="s">
        <v>21</v>
      </c>
      <c r="L239" s="1" t="s">
        <v>162</v>
      </c>
    </row>
    <row r="240" spans="1:12" x14ac:dyDescent="0.25">
      <c r="A240" s="1" t="s">
        <v>170</v>
      </c>
      <c r="B240" s="1" t="s">
        <v>165</v>
      </c>
      <c r="C240" s="1">
        <v>911</v>
      </c>
      <c r="D240" s="1">
        <v>7</v>
      </c>
      <c r="E240" s="1">
        <v>28</v>
      </c>
      <c r="F240" s="1">
        <v>268</v>
      </c>
      <c r="G240" s="7">
        <v>1909.05</v>
      </c>
      <c r="H240" s="1" t="s">
        <v>12</v>
      </c>
      <c r="I240" s="1" t="s">
        <v>13</v>
      </c>
      <c r="J240" s="1" t="s">
        <v>8</v>
      </c>
      <c r="K240" s="1" t="s">
        <v>7</v>
      </c>
      <c r="L240" s="1" t="s">
        <v>162</v>
      </c>
    </row>
    <row r="241" spans="1:12" x14ac:dyDescent="0.25">
      <c r="A241" s="1" t="s">
        <v>169</v>
      </c>
      <c r="B241" s="1" t="s">
        <v>165</v>
      </c>
      <c r="C241" s="1">
        <v>4565</v>
      </c>
      <c r="D241" s="1">
        <v>7</v>
      </c>
      <c r="E241" s="1">
        <v>32</v>
      </c>
      <c r="F241" s="1">
        <v>443</v>
      </c>
      <c r="G241" s="7">
        <v>1882.39</v>
      </c>
      <c r="H241" s="1" t="s">
        <v>19</v>
      </c>
      <c r="I241" s="1" t="s">
        <v>3</v>
      </c>
      <c r="J241" s="1" t="s">
        <v>18</v>
      </c>
      <c r="K241" s="1" t="s">
        <v>10</v>
      </c>
      <c r="L241" s="1" t="s">
        <v>162</v>
      </c>
    </row>
    <row r="242" spans="1:12" x14ac:dyDescent="0.25">
      <c r="A242" s="1" t="s">
        <v>168</v>
      </c>
      <c r="B242" s="1" t="s">
        <v>165</v>
      </c>
      <c r="C242" s="1">
        <v>2392</v>
      </c>
      <c r="D242" s="1">
        <v>10</v>
      </c>
      <c r="E242" s="1">
        <v>50</v>
      </c>
      <c r="F242" s="1">
        <v>223</v>
      </c>
      <c r="G242" s="7">
        <v>2131.1999999999998</v>
      </c>
      <c r="H242" s="1" t="s">
        <v>14</v>
      </c>
      <c r="I242" s="1" t="s">
        <v>3</v>
      </c>
      <c r="J242" s="1" t="s">
        <v>2</v>
      </c>
      <c r="K242" s="1" t="s">
        <v>7</v>
      </c>
      <c r="L242" s="1" t="s">
        <v>162</v>
      </c>
    </row>
    <row r="243" spans="1:12" x14ac:dyDescent="0.25">
      <c r="A243" s="1" t="s">
        <v>167</v>
      </c>
      <c r="B243" s="1" t="s">
        <v>165</v>
      </c>
      <c r="C243" s="1">
        <v>3903</v>
      </c>
      <c r="D243" s="1">
        <v>41</v>
      </c>
      <c r="E243" s="1">
        <v>43</v>
      </c>
      <c r="F243" s="1">
        <v>122</v>
      </c>
      <c r="G243" s="7">
        <v>2418</v>
      </c>
      <c r="H243" s="1" t="s">
        <v>14</v>
      </c>
      <c r="I243" s="1" t="s">
        <v>13</v>
      </c>
      <c r="J243" s="1" t="s">
        <v>18</v>
      </c>
      <c r="K243" s="1" t="s">
        <v>15</v>
      </c>
      <c r="L243" s="1" t="s">
        <v>162</v>
      </c>
    </row>
    <row r="244" spans="1:12" x14ac:dyDescent="0.25">
      <c r="A244" s="1" t="s">
        <v>166</v>
      </c>
      <c r="B244" s="1" t="s">
        <v>165</v>
      </c>
      <c r="C244" s="1">
        <v>3814</v>
      </c>
      <c r="D244" s="1">
        <v>9</v>
      </c>
      <c r="E244" s="1">
        <v>5</v>
      </c>
      <c r="F244" s="1">
        <v>375</v>
      </c>
      <c r="G244" s="7">
        <v>1352.24</v>
      </c>
      <c r="H244" s="1" t="s">
        <v>14</v>
      </c>
      <c r="I244" s="1" t="s">
        <v>13</v>
      </c>
      <c r="J244" s="1" t="s">
        <v>11</v>
      </c>
      <c r="K244" s="1" t="s">
        <v>17</v>
      </c>
      <c r="L244" s="1" t="s">
        <v>162</v>
      </c>
    </row>
    <row r="245" spans="1:12" x14ac:dyDescent="0.25">
      <c r="A245" s="1" t="s">
        <v>164</v>
      </c>
      <c r="B245" s="1" t="s">
        <v>133</v>
      </c>
      <c r="C245" s="1">
        <v>705</v>
      </c>
      <c r="D245" s="1">
        <v>41</v>
      </c>
      <c r="E245" s="1">
        <v>24</v>
      </c>
      <c r="F245" s="1">
        <v>395</v>
      </c>
      <c r="G245" s="7">
        <v>973.54</v>
      </c>
      <c r="H245" s="1" t="s">
        <v>19</v>
      </c>
      <c r="I245" s="1" t="s">
        <v>3</v>
      </c>
      <c r="J245" s="1" t="s">
        <v>8</v>
      </c>
      <c r="K245" s="1" t="s">
        <v>10</v>
      </c>
      <c r="L245" s="1" t="s">
        <v>162</v>
      </c>
    </row>
    <row r="246" spans="1:12" x14ac:dyDescent="0.25">
      <c r="A246" s="1" t="s">
        <v>163</v>
      </c>
      <c r="B246" s="1" t="s">
        <v>133</v>
      </c>
      <c r="C246" s="1">
        <v>1296</v>
      </c>
      <c r="D246" s="1">
        <v>36</v>
      </c>
      <c r="E246" s="1">
        <v>43</v>
      </c>
      <c r="F246" s="1">
        <v>28</v>
      </c>
      <c r="G246" s="7">
        <v>1940.16</v>
      </c>
      <c r="H246" s="1" t="s">
        <v>12</v>
      </c>
      <c r="I246" s="1" t="s">
        <v>3</v>
      </c>
      <c r="J246" s="1" t="s">
        <v>11</v>
      </c>
      <c r="K246" s="1" t="s">
        <v>10</v>
      </c>
      <c r="L246" s="1" t="s">
        <v>162</v>
      </c>
    </row>
    <row r="247" spans="1:12" x14ac:dyDescent="0.25">
      <c r="A247" s="1" t="s">
        <v>161</v>
      </c>
      <c r="B247" s="1" t="s">
        <v>133</v>
      </c>
      <c r="C247" s="1">
        <v>744</v>
      </c>
      <c r="D247" s="1">
        <v>23</v>
      </c>
      <c r="E247" s="1">
        <v>5</v>
      </c>
      <c r="F247" s="1">
        <v>294</v>
      </c>
      <c r="G247" s="7">
        <v>289.72000000000003</v>
      </c>
      <c r="H247" s="1" t="s">
        <v>12</v>
      </c>
      <c r="I247" s="1" t="s">
        <v>3</v>
      </c>
      <c r="J247" s="1" t="s">
        <v>18</v>
      </c>
      <c r="K247" s="1" t="s">
        <v>17</v>
      </c>
      <c r="L247" s="1" t="s">
        <v>120</v>
      </c>
    </row>
    <row r="248" spans="1:12" x14ac:dyDescent="0.25">
      <c r="A248" s="1" t="s">
        <v>160</v>
      </c>
      <c r="B248" s="1" t="s">
        <v>133</v>
      </c>
      <c r="C248" s="1">
        <v>2502</v>
      </c>
      <c r="D248" s="1">
        <v>24</v>
      </c>
      <c r="E248" s="1">
        <v>3</v>
      </c>
      <c r="F248" s="1">
        <v>173</v>
      </c>
      <c r="G248" s="7">
        <v>796.26</v>
      </c>
      <c r="H248" s="1" t="s">
        <v>25</v>
      </c>
      <c r="I248" s="1" t="s">
        <v>3</v>
      </c>
      <c r="J248" s="1" t="s">
        <v>18</v>
      </c>
      <c r="K248" s="1" t="s">
        <v>7</v>
      </c>
      <c r="L248" s="1" t="s">
        <v>120</v>
      </c>
    </row>
    <row r="249" spans="1:12" x14ac:dyDescent="0.25">
      <c r="A249" s="1" t="s">
        <v>159</v>
      </c>
      <c r="B249" s="1" t="s">
        <v>133</v>
      </c>
      <c r="C249" s="1">
        <v>1400</v>
      </c>
      <c r="D249" s="1">
        <v>20</v>
      </c>
      <c r="E249" s="1">
        <v>1</v>
      </c>
      <c r="F249" s="1">
        <v>254</v>
      </c>
      <c r="G249" s="7">
        <v>2072.15</v>
      </c>
      <c r="H249" s="1" t="s">
        <v>19</v>
      </c>
      <c r="I249" s="1" t="s">
        <v>13</v>
      </c>
      <c r="J249" s="1" t="s">
        <v>11</v>
      </c>
      <c r="K249" s="1" t="s">
        <v>21</v>
      </c>
      <c r="L249" s="1" t="s">
        <v>120</v>
      </c>
    </row>
    <row r="250" spans="1:12" x14ac:dyDescent="0.25">
      <c r="A250" s="1" t="s">
        <v>158</v>
      </c>
      <c r="B250" s="1" t="s">
        <v>133</v>
      </c>
      <c r="C250" s="1">
        <v>1678</v>
      </c>
      <c r="D250" s="1">
        <v>27</v>
      </c>
      <c r="E250" s="1">
        <v>11</v>
      </c>
      <c r="F250" s="1">
        <v>299</v>
      </c>
      <c r="G250" s="7">
        <v>915.73</v>
      </c>
      <c r="H250" s="1" t="s">
        <v>4</v>
      </c>
      <c r="I250" s="1" t="s">
        <v>3</v>
      </c>
      <c r="J250" s="1" t="s">
        <v>18</v>
      </c>
      <c r="K250" s="1" t="s">
        <v>1</v>
      </c>
      <c r="L250" s="1" t="s">
        <v>120</v>
      </c>
    </row>
    <row r="251" spans="1:12" x14ac:dyDescent="0.25">
      <c r="A251" s="1" t="s">
        <v>157</v>
      </c>
      <c r="B251" s="1" t="s">
        <v>133</v>
      </c>
      <c r="C251" s="1">
        <v>2919</v>
      </c>
      <c r="D251" s="1">
        <v>13</v>
      </c>
      <c r="E251" s="1">
        <v>26</v>
      </c>
      <c r="F251" s="1">
        <v>167</v>
      </c>
      <c r="G251" s="7">
        <v>672.93</v>
      </c>
      <c r="H251" s="1" t="s">
        <v>12</v>
      </c>
      <c r="I251" s="1" t="s">
        <v>13</v>
      </c>
      <c r="J251" s="1" t="s">
        <v>8</v>
      </c>
      <c r="K251" s="1" t="s">
        <v>7</v>
      </c>
      <c r="L251" s="1" t="s">
        <v>120</v>
      </c>
    </row>
    <row r="252" spans="1:12" x14ac:dyDescent="0.25">
      <c r="A252" s="1" t="s">
        <v>156</v>
      </c>
      <c r="B252" s="1" t="s">
        <v>133</v>
      </c>
      <c r="C252" s="1">
        <v>1704</v>
      </c>
      <c r="D252" s="1">
        <v>17</v>
      </c>
      <c r="E252" s="1">
        <v>27</v>
      </c>
      <c r="F252" s="1">
        <v>124</v>
      </c>
      <c r="G252" s="7">
        <v>1414.67</v>
      </c>
      <c r="H252" s="1" t="s">
        <v>12</v>
      </c>
      <c r="I252" s="1" t="s">
        <v>3</v>
      </c>
      <c r="J252" s="1" t="s">
        <v>18</v>
      </c>
      <c r="K252" s="1" t="s">
        <v>1</v>
      </c>
      <c r="L252" s="1" t="s">
        <v>120</v>
      </c>
    </row>
    <row r="253" spans="1:12" x14ac:dyDescent="0.25">
      <c r="A253" s="1" t="s">
        <v>155</v>
      </c>
      <c r="B253" s="1" t="s">
        <v>133</v>
      </c>
      <c r="C253" s="1">
        <v>3083</v>
      </c>
      <c r="D253" s="1">
        <v>34</v>
      </c>
      <c r="E253" s="1">
        <v>43</v>
      </c>
      <c r="F253" s="1">
        <v>108</v>
      </c>
      <c r="G253" s="7">
        <v>698.19</v>
      </c>
      <c r="H253" s="1" t="s">
        <v>25</v>
      </c>
      <c r="I253" s="1" t="s">
        <v>13</v>
      </c>
      <c r="J253" s="1" t="s">
        <v>18</v>
      </c>
      <c r="K253" s="1" t="s">
        <v>1</v>
      </c>
      <c r="L253" s="1" t="s">
        <v>120</v>
      </c>
    </row>
    <row r="254" spans="1:12" x14ac:dyDescent="0.25">
      <c r="A254" s="1" t="s">
        <v>154</v>
      </c>
      <c r="B254" s="1" t="s">
        <v>133</v>
      </c>
      <c r="C254" s="1">
        <v>706</v>
      </c>
      <c r="D254" s="1">
        <v>6</v>
      </c>
      <c r="E254" s="1">
        <v>37</v>
      </c>
      <c r="F254" s="1">
        <v>447</v>
      </c>
      <c r="G254" s="7">
        <v>1460.23</v>
      </c>
      <c r="H254" s="1" t="s">
        <v>14</v>
      </c>
      <c r="I254" s="1" t="s">
        <v>13</v>
      </c>
      <c r="J254" s="1" t="s">
        <v>18</v>
      </c>
      <c r="K254" s="1" t="s">
        <v>21</v>
      </c>
      <c r="L254" s="1" t="s">
        <v>120</v>
      </c>
    </row>
    <row r="255" spans="1:12" x14ac:dyDescent="0.25">
      <c r="A255" s="1" t="s">
        <v>153</v>
      </c>
      <c r="B255" s="1" t="s">
        <v>133</v>
      </c>
      <c r="C255" s="1">
        <v>646</v>
      </c>
      <c r="D255" s="1">
        <v>9</v>
      </c>
      <c r="E255" s="1">
        <v>26</v>
      </c>
      <c r="F255" s="1">
        <v>219</v>
      </c>
      <c r="G255" s="7">
        <v>74.430000000000007</v>
      </c>
      <c r="H255" s="1" t="s">
        <v>4</v>
      </c>
      <c r="I255" s="1" t="s">
        <v>13</v>
      </c>
      <c r="J255" s="1" t="s">
        <v>18</v>
      </c>
      <c r="K255" s="1" t="s">
        <v>10</v>
      </c>
      <c r="L255" s="1" t="s">
        <v>120</v>
      </c>
    </row>
    <row r="256" spans="1:12" x14ac:dyDescent="0.25">
      <c r="A256" s="1" t="s">
        <v>152</v>
      </c>
      <c r="B256" s="1" t="s">
        <v>133</v>
      </c>
      <c r="C256" s="1">
        <v>1084</v>
      </c>
      <c r="D256" s="1">
        <v>34</v>
      </c>
      <c r="E256" s="1">
        <v>2</v>
      </c>
      <c r="F256" s="1">
        <v>72</v>
      </c>
      <c r="G256" s="7">
        <v>1459.64</v>
      </c>
      <c r="H256" s="1" t="s">
        <v>19</v>
      </c>
      <c r="I256" s="1" t="s">
        <v>13</v>
      </c>
      <c r="J256" s="1" t="s">
        <v>11</v>
      </c>
      <c r="K256" s="1" t="s">
        <v>7</v>
      </c>
      <c r="L256" s="1" t="s">
        <v>120</v>
      </c>
    </row>
    <row r="257" spans="1:12" x14ac:dyDescent="0.25">
      <c r="A257" s="1" t="s">
        <v>151</v>
      </c>
      <c r="B257" s="1" t="s">
        <v>133</v>
      </c>
      <c r="C257" s="1">
        <v>3175</v>
      </c>
      <c r="D257" s="1">
        <v>35</v>
      </c>
      <c r="E257" s="1">
        <v>12</v>
      </c>
      <c r="F257" s="1">
        <v>147</v>
      </c>
      <c r="G257" s="7">
        <v>555.87</v>
      </c>
      <c r="H257" s="1" t="s">
        <v>14</v>
      </c>
      <c r="I257" s="1" t="s">
        <v>13</v>
      </c>
      <c r="J257" s="1" t="s">
        <v>18</v>
      </c>
      <c r="K257" s="1" t="s">
        <v>7</v>
      </c>
      <c r="L257" s="1" t="s">
        <v>120</v>
      </c>
    </row>
    <row r="258" spans="1:12" x14ac:dyDescent="0.25">
      <c r="A258" s="1" t="s">
        <v>150</v>
      </c>
      <c r="B258" s="1" t="s">
        <v>133</v>
      </c>
      <c r="C258" s="1">
        <v>3475</v>
      </c>
      <c r="D258" s="1">
        <v>6</v>
      </c>
      <c r="E258" s="1">
        <v>38</v>
      </c>
      <c r="F258" s="1">
        <v>396</v>
      </c>
      <c r="G258" s="7">
        <v>150.94999999999999</v>
      </c>
      <c r="H258" s="1" t="s">
        <v>25</v>
      </c>
      <c r="I258" s="1" t="s">
        <v>3</v>
      </c>
      <c r="J258" s="1" t="s">
        <v>2</v>
      </c>
      <c r="K258" s="1" t="s">
        <v>7</v>
      </c>
      <c r="L258" s="1" t="s">
        <v>120</v>
      </c>
    </row>
    <row r="259" spans="1:12" x14ac:dyDescent="0.25">
      <c r="A259" s="1" t="s">
        <v>149</v>
      </c>
      <c r="B259" s="1" t="s">
        <v>133</v>
      </c>
      <c r="C259" s="1">
        <v>2787</v>
      </c>
      <c r="D259" s="1">
        <v>39</v>
      </c>
      <c r="E259" s="1">
        <v>-4</v>
      </c>
      <c r="F259" s="1">
        <v>257</v>
      </c>
      <c r="G259" s="7">
        <v>1519.76</v>
      </c>
      <c r="H259" s="1" t="s">
        <v>14</v>
      </c>
      <c r="I259" s="1" t="s">
        <v>3</v>
      </c>
      <c r="J259" s="1" t="s">
        <v>18</v>
      </c>
      <c r="K259" s="1" t="s">
        <v>1</v>
      </c>
      <c r="L259" s="1" t="s">
        <v>120</v>
      </c>
    </row>
    <row r="260" spans="1:12" x14ac:dyDescent="0.25">
      <c r="A260" s="1" t="s">
        <v>148</v>
      </c>
      <c r="B260" s="1" t="s">
        <v>133</v>
      </c>
      <c r="C260" s="1">
        <v>1376</v>
      </c>
      <c r="D260" s="1">
        <v>8</v>
      </c>
      <c r="E260" s="1">
        <v>0</v>
      </c>
      <c r="F260" s="1">
        <v>326</v>
      </c>
      <c r="G260" s="7">
        <v>1284.79</v>
      </c>
      <c r="H260" s="1" t="s">
        <v>14</v>
      </c>
      <c r="I260" s="1" t="s">
        <v>13</v>
      </c>
      <c r="J260" s="1" t="s">
        <v>11</v>
      </c>
      <c r="K260" s="1" t="s">
        <v>10</v>
      </c>
      <c r="L260" s="1" t="s">
        <v>120</v>
      </c>
    </row>
    <row r="261" spans="1:12" x14ac:dyDescent="0.25">
      <c r="A261" s="1" t="s">
        <v>147</v>
      </c>
      <c r="B261" s="1" t="s">
        <v>133</v>
      </c>
      <c r="C261" s="1">
        <v>3745</v>
      </c>
      <c r="D261" s="1">
        <v>8</v>
      </c>
      <c r="E261" s="1">
        <v>25</v>
      </c>
      <c r="F261" s="1">
        <v>392</v>
      </c>
      <c r="G261" s="7">
        <v>1215.96</v>
      </c>
      <c r="H261" s="1" t="s">
        <v>14</v>
      </c>
      <c r="I261" s="1" t="s">
        <v>13</v>
      </c>
      <c r="J261" s="1" t="s">
        <v>8</v>
      </c>
      <c r="K261" s="1" t="s">
        <v>7</v>
      </c>
      <c r="L261" s="1" t="s">
        <v>120</v>
      </c>
    </row>
    <row r="262" spans="1:12" x14ac:dyDescent="0.25">
      <c r="A262" s="1" t="s">
        <v>146</v>
      </c>
      <c r="B262" s="1" t="s">
        <v>133</v>
      </c>
      <c r="C262" s="1">
        <v>4266</v>
      </c>
      <c r="D262" s="1">
        <v>12</v>
      </c>
      <c r="E262" s="1">
        <v>16</v>
      </c>
      <c r="F262" s="1">
        <v>62</v>
      </c>
      <c r="G262" s="7">
        <v>1206.03</v>
      </c>
      <c r="H262" s="1" t="s">
        <v>19</v>
      </c>
      <c r="I262" s="1" t="s">
        <v>13</v>
      </c>
      <c r="J262" s="1" t="s">
        <v>8</v>
      </c>
      <c r="K262" s="1" t="s">
        <v>1</v>
      </c>
      <c r="L262" s="1" t="s">
        <v>120</v>
      </c>
    </row>
    <row r="263" spans="1:12" x14ac:dyDescent="0.25">
      <c r="A263" s="1" t="s">
        <v>145</v>
      </c>
      <c r="B263" s="1" t="s">
        <v>133</v>
      </c>
      <c r="C263" s="1">
        <v>1236</v>
      </c>
      <c r="D263" s="1">
        <v>35</v>
      </c>
      <c r="E263" s="1">
        <v>50</v>
      </c>
      <c r="F263" s="1">
        <v>406</v>
      </c>
      <c r="G263" s="7">
        <v>947.45</v>
      </c>
      <c r="H263" s="1" t="s">
        <v>14</v>
      </c>
      <c r="I263" s="1" t="s">
        <v>13</v>
      </c>
      <c r="J263" s="1" t="s">
        <v>2</v>
      </c>
      <c r="K263" s="1" t="s">
        <v>17</v>
      </c>
      <c r="L263" s="1" t="s">
        <v>120</v>
      </c>
    </row>
    <row r="264" spans="1:12" x14ac:dyDescent="0.25">
      <c r="A264" s="1" t="s">
        <v>144</v>
      </c>
      <c r="B264" s="1" t="s">
        <v>133</v>
      </c>
      <c r="C264" s="1">
        <v>3935</v>
      </c>
      <c r="D264" s="1">
        <v>25</v>
      </c>
      <c r="E264" s="1">
        <v>-3</v>
      </c>
      <c r="F264" s="1">
        <v>275</v>
      </c>
      <c r="G264" s="7">
        <v>1974.41</v>
      </c>
      <c r="H264" s="1" t="s">
        <v>12</v>
      </c>
      <c r="I264" s="1" t="s">
        <v>3</v>
      </c>
      <c r="J264" s="1" t="s">
        <v>18</v>
      </c>
      <c r="K264" s="1" t="s">
        <v>21</v>
      </c>
      <c r="L264" s="1" t="s">
        <v>120</v>
      </c>
    </row>
    <row r="265" spans="1:12" x14ac:dyDescent="0.25">
      <c r="A265" s="1" t="s">
        <v>143</v>
      </c>
      <c r="B265" s="1" t="s">
        <v>133</v>
      </c>
      <c r="C265" s="1">
        <v>2034</v>
      </c>
      <c r="D265" s="1">
        <v>5</v>
      </c>
      <c r="E265" s="1">
        <v>38</v>
      </c>
      <c r="F265" s="1">
        <v>167</v>
      </c>
      <c r="G265" s="7">
        <v>1384</v>
      </c>
      <c r="H265" s="1" t="s">
        <v>14</v>
      </c>
      <c r="I265" s="1" t="s">
        <v>13</v>
      </c>
      <c r="J265" s="1" t="s">
        <v>11</v>
      </c>
      <c r="K265" s="1" t="s">
        <v>7</v>
      </c>
      <c r="L265" s="1" t="s">
        <v>120</v>
      </c>
    </row>
    <row r="266" spans="1:12" x14ac:dyDescent="0.25">
      <c r="A266" s="1" t="s">
        <v>142</v>
      </c>
      <c r="B266" s="1" t="s">
        <v>133</v>
      </c>
      <c r="C266" s="1">
        <v>3902</v>
      </c>
      <c r="D266" s="1">
        <v>37</v>
      </c>
      <c r="E266" s="1">
        <v>28</v>
      </c>
      <c r="F266" s="1">
        <v>45</v>
      </c>
      <c r="G266" s="7">
        <v>334.75</v>
      </c>
      <c r="H266" s="1" t="s">
        <v>12</v>
      </c>
      <c r="I266" s="1" t="s">
        <v>13</v>
      </c>
      <c r="J266" s="1" t="s">
        <v>18</v>
      </c>
      <c r="K266" s="1" t="s">
        <v>7</v>
      </c>
      <c r="L266" s="1" t="s">
        <v>120</v>
      </c>
    </row>
    <row r="267" spans="1:12" x14ac:dyDescent="0.25">
      <c r="A267" s="1" t="s">
        <v>141</v>
      </c>
      <c r="B267" s="1" t="s">
        <v>133</v>
      </c>
      <c r="C267" s="1">
        <v>3550</v>
      </c>
      <c r="D267" s="1">
        <v>5</v>
      </c>
      <c r="E267" s="1">
        <v>13</v>
      </c>
      <c r="F267" s="1">
        <v>82</v>
      </c>
      <c r="G267" s="7">
        <v>1312.21</v>
      </c>
      <c r="H267" s="1" t="s">
        <v>12</v>
      </c>
      <c r="I267" s="1" t="s">
        <v>13</v>
      </c>
      <c r="J267" s="1" t="s">
        <v>18</v>
      </c>
      <c r="K267" s="1" t="s">
        <v>10</v>
      </c>
      <c r="L267" s="1" t="s">
        <v>120</v>
      </c>
    </row>
    <row r="268" spans="1:12" x14ac:dyDescent="0.25">
      <c r="A268" s="1" t="s">
        <v>140</v>
      </c>
      <c r="B268" s="1" t="s">
        <v>133</v>
      </c>
      <c r="C268" s="1">
        <v>1747</v>
      </c>
      <c r="D268" s="1">
        <v>36</v>
      </c>
      <c r="E268" s="1">
        <v>48</v>
      </c>
      <c r="F268" s="1">
        <v>219</v>
      </c>
      <c r="G268" s="7">
        <v>2018.79</v>
      </c>
      <c r="H268" s="1" t="s">
        <v>12</v>
      </c>
      <c r="I268" s="1" t="s">
        <v>3</v>
      </c>
      <c r="J268" s="1" t="s">
        <v>18</v>
      </c>
      <c r="K268" s="1" t="s">
        <v>7</v>
      </c>
      <c r="L268" s="1" t="s">
        <v>120</v>
      </c>
    </row>
    <row r="269" spans="1:12" x14ac:dyDescent="0.25">
      <c r="A269" s="1" t="s">
        <v>139</v>
      </c>
      <c r="B269" s="1" t="s">
        <v>133</v>
      </c>
      <c r="C269" s="1">
        <v>3709</v>
      </c>
      <c r="D269" s="1">
        <v>18</v>
      </c>
      <c r="E269" s="1">
        <v>9</v>
      </c>
      <c r="F269" s="1">
        <v>322</v>
      </c>
      <c r="G269" s="7">
        <v>964.17</v>
      </c>
      <c r="H269" s="1" t="s">
        <v>19</v>
      </c>
      <c r="I269" s="1" t="s">
        <v>13</v>
      </c>
      <c r="J269" s="1" t="s">
        <v>18</v>
      </c>
      <c r="K269" s="1" t="s">
        <v>10</v>
      </c>
      <c r="L269" s="1" t="s">
        <v>120</v>
      </c>
    </row>
    <row r="270" spans="1:12" x14ac:dyDescent="0.25">
      <c r="A270" s="1" t="s">
        <v>138</v>
      </c>
      <c r="B270" s="1" t="s">
        <v>133</v>
      </c>
      <c r="C270" s="1">
        <v>4399</v>
      </c>
      <c r="D270" s="1">
        <v>10</v>
      </c>
      <c r="E270" s="1">
        <v>10</v>
      </c>
      <c r="F270" s="1">
        <v>422</v>
      </c>
      <c r="G270" s="7">
        <v>2409.69</v>
      </c>
      <c r="H270" s="1" t="s">
        <v>25</v>
      </c>
      <c r="I270" s="1" t="s">
        <v>13</v>
      </c>
      <c r="J270" s="1" t="s">
        <v>18</v>
      </c>
      <c r="K270" s="1" t="s">
        <v>7</v>
      </c>
      <c r="L270" s="1" t="s">
        <v>120</v>
      </c>
    </row>
    <row r="271" spans="1:12" x14ac:dyDescent="0.25">
      <c r="A271" s="1" t="s">
        <v>137</v>
      </c>
      <c r="B271" s="1" t="s">
        <v>133</v>
      </c>
      <c r="C271" s="1">
        <v>3954</v>
      </c>
      <c r="D271" s="1">
        <v>15</v>
      </c>
      <c r="E271" s="1">
        <v>22</v>
      </c>
      <c r="F271" s="1">
        <v>194</v>
      </c>
      <c r="G271" s="7">
        <v>1869.83</v>
      </c>
      <c r="H271" s="1" t="s">
        <v>4</v>
      </c>
      <c r="I271" s="1" t="s">
        <v>3</v>
      </c>
      <c r="J271" s="1" t="s">
        <v>18</v>
      </c>
      <c r="K271" s="1" t="s">
        <v>21</v>
      </c>
      <c r="L271" s="1" t="s">
        <v>120</v>
      </c>
    </row>
    <row r="272" spans="1:12" x14ac:dyDescent="0.25">
      <c r="A272" s="1" t="s">
        <v>136</v>
      </c>
      <c r="B272" s="1" t="s">
        <v>133</v>
      </c>
      <c r="C272" s="1">
        <v>552</v>
      </c>
      <c r="D272" s="1">
        <v>16</v>
      </c>
      <c r="E272" s="1">
        <v>-2</v>
      </c>
      <c r="F272" s="1">
        <v>262</v>
      </c>
      <c r="G272" s="7">
        <v>1206.1400000000001</v>
      </c>
      <c r="H272" s="1" t="s">
        <v>19</v>
      </c>
      <c r="I272" s="1" t="s">
        <v>13</v>
      </c>
      <c r="J272" s="1" t="s">
        <v>18</v>
      </c>
      <c r="K272" s="1" t="s">
        <v>21</v>
      </c>
      <c r="L272" s="1" t="s">
        <v>120</v>
      </c>
    </row>
    <row r="273" spans="1:12" x14ac:dyDescent="0.25">
      <c r="A273" s="1" t="s">
        <v>135</v>
      </c>
      <c r="B273" s="1" t="s">
        <v>133</v>
      </c>
      <c r="C273" s="1">
        <v>4719</v>
      </c>
      <c r="D273" s="1">
        <v>33</v>
      </c>
      <c r="E273" s="1">
        <v>12</v>
      </c>
      <c r="F273" s="1">
        <v>127</v>
      </c>
      <c r="G273" s="7">
        <v>1241.55</v>
      </c>
      <c r="H273" s="1" t="s">
        <v>14</v>
      </c>
      <c r="I273" s="1" t="s">
        <v>3</v>
      </c>
      <c r="J273" s="1" t="s">
        <v>11</v>
      </c>
      <c r="K273" s="1" t="s">
        <v>7</v>
      </c>
      <c r="L273" s="1" t="s">
        <v>120</v>
      </c>
    </row>
    <row r="274" spans="1:12" x14ac:dyDescent="0.25">
      <c r="A274" s="1" t="s">
        <v>134</v>
      </c>
      <c r="B274" s="1" t="s">
        <v>133</v>
      </c>
      <c r="C274" s="1">
        <v>4154</v>
      </c>
      <c r="D274" s="1">
        <v>44</v>
      </c>
      <c r="E274" s="1">
        <v>-5</v>
      </c>
      <c r="F274" s="1">
        <v>399</v>
      </c>
      <c r="G274" s="7">
        <v>1922.51</v>
      </c>
      <c r="H274" s="1" t="s">
        <v>14</v>
      </c>
      <c r="I274" s="1" t="s">
        <v>13</v>
      </c>
      <c r="J274" s="1" t="s">
        <v>18</v>
      </c>
      <c r="K274" s="1" t="s">
        <v>7</v>
      </c>
      <c r="L274" s="1" t="s">
        <v>120</v>
      </c>
    </row>
    <row r="275" spans="1:12" x14ac:dyDescent="0.25">
      <c r="A275" s="1" t="s">
        <v>132</v>
      </c>
      <c r="B275" s="1" t="s">
        <v>100</v>
      </c>
      <c r="C275" s="1">
        <v>1129</v>
      </c>
      <c r="D275" s="1">
        <v>23</v>
      </c>
      <c r="E275" s="1">
        <v>34</v>
      </c>
      <c r="F275" s="1">
        <v>166</v>
      </c>
      <c r="G275" s="7">
        <v>2329.19</v>
      </c>
      <c r="H275" s="1" t="s">
        <v>19</v>
      </c>
      <c r="I275" s="1" t="s">
        <v>13</v>
      </c>
      <c r="J275" s="1" t="s">
        <v>18</v>
      </c>
      <c r="K275" s="1" t="s">
        <v>10</v>
      </c>
      <c r="L275" s="1" t="s">
        <v>120</v>
      </c>
    </row>
    <row r="276" spans="1:12" x14ac:dyDescent="0.25">
      <c r="A276" s="1" t="s">
        <v>131</v>
      </c>
      <c r="B276" s="1" t="s">
        <v>100</v>
      </c>
      <c r="C276" s="1">
        <v>1906</v>
      </c>
      <c r="D276" s="1">
        <v>40</v>
      </c>
      <c r="E276" s="1">
        <v>24</v>
      </c>
      <c r="F276" s="1">
        <v>174</v>
      </c>
      <c r="G276" s="7">
        <v>744.03</v>
      </c>
      <c r="H276" s="1" t="s">
        <v>12</v>
      </c>
      <c r="I276" s="1" t="s">
        <v>3</v>
      </c>
      <c r="J276" s="1" t="s">
        <v>18</v>
      </c>
      <c r="K276" s="1" t="s">
        <v>10</v>
      </c>
      <c r="L276" s="1" t="s">
        <v>120</v>
      </c>
    </row>
    <row r="277" spans="1:12" x14ac:dyDescent="0.25">
      <c r="A277" s="1" t="s">
        <v>130</v>
      </c>
      <c r="B277" s="1" t="s">
        <v>100</v>
      </c>
      <c r="C277" s="1">
        <v>3540</v>
      </c>
      <c r="D277" s="1">
        <v>42</v>
      </c>
      <c r="E277" s="1">
        <v>19</v>
      </c>
      <c r="F277" s="1">
        <v>70</v>
      </c>
      <c r="G277" s="7">
        <v>586.96</v>
      </c>
      <c r="H277" s="1" t="s">
        <v>25</v>
      </c>
      <c r="I277" s="1" t="s">
        <v>13</v>
      </c>
      <c r="J277" s="1" t="s">
        <v>18</v>
      </c>
      <c r="K277" s="1" t="s">
        <v>17</v>
      </c>
      <c r="L277" s="1" t="s">
        <v>120</v>
      </c>
    </row>
    <row r="278" spans="1:12" x14ac:dyDescent="0.25">
      <c r="A278" s="1" t="s">
        <v>129</v>
      </c>
      <c r="B278" s="1" t="s">
        <v>100</v>
      </c>
      <c r="C278" s="1">
        <v>4994</v>
      </c>
      <c r="D278" s="1">
        <v>6</v>
      </c>
      <c r="E278" s="1">
        <v>3</v>
      </c>
      <c r="F278" s="1">
        <v>146</v>
      </c>
      <c r="G278" s="7">
        <v>681.4</v>
      </c>
      <c r="H278" s="1" t="s">
        <v>4</v>
      </c>
      <c r="I278" s="1" t="s">
        <v>13</v>
      </c>
      <c r="J278" s="1" t="s">
        <v>18</v>
      </c>
      <c r="K278" s="1" t="s">
        <v>10</v>
      </c>
      <c r="L278" s="1" t="s">
        <v>120</v>
      </c>
    </row>
    <row r="279" spans="1:12" x14ac:dyDescent="0.25">
      <c r="A279" s="1" t="s">
        <v>128</v>
      </c>
      <c r="B279" s="1" t="s">
        <v>100</v>
      </c>
      <c r="C279" s="1">
        <v>756</v>
      </c>
      <c r="D279" s="1">
        <v>41</v>
      </c>
      <c r="E279" s="1">
        <v>34</v>
      </c>
      <c r="F279" s="1">
        <v>390</v>
      </c>
      <c r="G279" s="7">
        <v>1356.42</v>
      </c>
      <c r="H279" s="1" t="s">
        <v>12</v>
      </c>
      <c r="I279" s="1" t="s">
        <v>13</v>
      </c>
      <c r="J279" s="1" t="s">
        <v>18</v>
      </c>
      <c r="K279" s="1" t="s">
        <v>7</v>
      </c>
      <c r="L279" s="1" t="s">
        <v>120</v>
      </c>
    </row>
    <row r="280" spans="1:12" x14ac:dyDescent="0.25">
      <c r="A280" s="1" t="s">
        <v>127</v>
      </c>
      <c r="B280" s="1" t="s">
        <v>100</v>
      </c>
      <c r="C280" s="1">
        <v>2118</v>
      </c>
      <c r="D280" s="1">
        <v>32</v>
      </c>
      <c r="E280" s="1">
        <v>6</v>
      </c>
      <c r="F280" s="1">
        <v>52</v>
      </c>
      <c r="G280" s="7">
        <v>1293.47</v>
      </c>
      <c r="H280" s="1" t="s">
        <v>12</v>
      </c>
      <c r="I280" s="1" t="s">
        <v>13</v>
      </c>
      <c r="J280" s="1" t="s">
        <v>8</v>
      </c>
      <c r="K280" s="1" t="s">
        <v>7</v>
      </c>
      <c r="L280" s="1" t="s">
        <v>120</v>
      </c>
    </row>
    <row r="281" spans="1:12" x14ac:dyDescent="0.25">
      <c r="A281" s="1" t="s">
        <v>126</v>
      </c>
      <c r="B281" s="1" t="s">
        <v>100</v>
      </c>
      <c r="C281" s="1">
        <v>4875</v>
      </c>
      <c r="D281" s="1">
        <v>25</v>
      </c>
      <c r="E281" s="1">
        <v>10</v>
      </c>
      <c r="F281" s="1">
        <v>443</v>
      </c>
      <c r="G281" s="7">
        <v>967.26</v>
      </c>
      <c r="H281" s="1" t="s">
        <v>4</v>
      </c>
      <c r="I281" s="1" t="s">
        <v>13</v>
      </c>
      <c r="J281" s="1" t="s">
        <v>11</v>
      </c>
      <c r="K281" s="1" t="s">
        <v>10</v>
      </c>
      <c r="L281" s="1" t="s">
        <v>120</v>
      </c>
    </row>
    <row r="282" spans="1:12" x14ac:dyDescent="0.25">
      <c r="A282" s="1" t="s">
        <v>125</v>
      </c>
      <c r="B282" s="1" t="s">
        <v>100</v>
      </c>
      <c r="C282" s="1">
        <v>3643</v>
      </c>
      <c r="D282" s="1">
        <v>39</v>
      </c>
      <c r="E282" s="1">
        <v>9</v>
      </c>
      <c r="F282" s="1">
        <v>88</v>
      </c>
      <c r="G282" s="7">
        <v>1786.27</v>
      </c>
      <c r="H282" s="1" t="s">
        <v>14</v>
      </c>
      <c r="I282" s="1" t="s">
        <v>3</v>
      </c>
      <c r="J282" s="1" t="s">
        <v>11</v>
      </c>
      <c r="K282" s="1" t="s">
        <v>17</v>
      </c>
      <c r="L282" s="1" t="s">
        <v>120</v>
      </c>
    </row>
    <row r="283" spans="1:12" x14ac:dyDescent="0.25">
      <c r="A283" s="1" t="s">
        <v>124</v>
      </c>
      <c r="B283" s="1" t="s">
        <v>100</v>
      </c>
      <c r="C283" s="1">
        <v>2615</v>
      </c>
      <c r="D283" s="1">
        <v>19</v>
      </c>
      <c r="E283" s="1">
        <v>22</v>
      </c>
      <c r="F283" s="1">
        <v>209</v>
      </c>
      <c r="G283" s="7">
        <v>1747.24</v>
      </c>
      <c r="H283" s="1" t="s">
        <v>19</v>
      </c>
      <c r="I283" s="1" t="s">
        <v>13</v>
      </c>
      <c r="J283" s="1" t="s">
        <v>18</v>
      </c>
      <c r="K283" s="1" t="s">
        <v>7</v>
      </c>
      <c r="L283" s="1" t="s">
        <v>120</v>
      </c>
    </row>
    <row r="284" spans="1:12" x14ac:dyDescent="0.25">
      <c r="A284" s="1" t="s">
        <v>123</v>
      </c>
      <c r="B284" s="1" t="s">
        <v>100</v>
      </c>
      <c r="C284" s="1">
        <v>1379</v>
      </c>
      <c r="D284" s="1">
        <v>42</v>
      </c>
      <c r="E284" s="1">
        <v>30</v>
      </c>
      <c r="F284" s="1">
        <v>106</v>
      </c>
      <c r="G284" s="7">
        <v>2097.5500000000002</v>
      </c>
      <c r="H284" s="1" t="s">
        <v>19</v>
      </c>
      <c r="I284" s="1" t="s">
        <v>13</v>
      </c>
      <c r="J284" s="1" t="s">
        <v>18</v>
      </c>
      <c r="K284" s="1" t="s">
        <v>7</v>
      </c>
      <c r="L284" s="1" t="s">
        <v>120</v>
      </c>
    </row>
    <row r="285" spans="1:12" x14ac:dyDescent="0.25">
      <c r="A285" s="1" t="s">
        <v>122</v>
      </c>
      <c r="B285" s="1" t="s">
        <v>100</v>
      </c>
      <c r="C285" s="1">
        <v>970</v>
      </c>
      <c r="D285" s="1">
        <v>27</v>
      </c>
      <c r="E285" s="1">
        <v>20</v>
      </c>
      <c r="F285" s="1">
        <v>151</v>
      </c>
      <c r="G285" s="7">
        <v>726.91</v>
      </c>
      <c r="H285" s="1" t="s">
        <v>14</v>
      </c>
      <c r="I285" s="1" t="s">
        <v>13</v>
      </c>
      <c r="J285" s="1" t="s">
        <v>11</v>
      </c>
      <c r="K285" s="1" t="s">
        <v>10</v>
      </c>
      <c r="L285" s="1" t="s">
        <v>120</v>
      </c>
    </row>
    <row r="286" spans="1:12" x14ac:dyDescent="0.25">
      <c r="A286" s="1" t="s">
        <v>121</v>
      </c>
      <c r="B286" s="1" t="s">
        <v>100</v>
      </c>
      <c r="C286" s="1">
        <v>3605</v>
      </c>
      <c r="D286" s="1">
        <v>32</v>
      </c>
      <c r="E286" s="1">
        <v>25</v>
      </c>
      <c r="F286" s="1">
        <v>134</v>
      </c>
      <c r="G286" s="7">
        <v>393.3</v>
      </c>
      <c r="H286" s="1" t="s">
        <v>12</v>
      </c>
      <c r="I286" s="1" t="s">
        <v>13</v>
      </c>
      <c r="J286" s="1" t="s">
        <v>18</v>
      </c>
      <c r="K286" s="1" t="s">
        <v>7</v>
      </c>
      <c r="L286" s="1" t="s">
        <v>120</v>
      </c>
    </row>
    <row r="287" spans="1:12" x14ac:dyDescent="0.25">
      <c r="A287" s="1" t="s">
        <v>119</v>
      </c>
      <c r="B287" s="1" t="s">
        <v>100</v>
      </c>
      <c r="C287" s="1">
        <v>3271</v>
      </c>
      <c r="D287" s="1">
        <v>36</v>
      </c>
      <c r="E287" s="1">
        <v>1</v>
      </c>
      <c r="F287" s="1">
        <v>51</v>
      </c>
      <c r="G287" s="7">
        <v>574.54</v>
      </c>
      <c r="H287" s="1" t="s">
        <v>14</v>
      </c>
      <c r="I287" s="1" t="s">
        <v>13</v>
      </c>
      <c r="J287" s="1" t="s">
        <v>18</v>
      </c>
      <c r="K287" s="1" t="s">
        <v>21</v>
      </c>
      <c r="L287" s="1" t="s">
        <v>83</v>
      </c>
    </row>
    <row r="288" spans="1:12" x14ac:dyDescent="0.25">
      <c r="A288" s="1" t="s">
        <v>118</v>
      </c>
      <c r="B288" s="1" t="s">
        <v>100</v>
      </c>
      <c r="C288" s="1">
        <v>648</v>
      </c>
      <c r="D288" s="1">
        <v>33</v>
      </c>
      <c r="E288" s="1">
        <v>34</v>
      </c>
      <c r="F288" s="1">
        <v>260</v>
      </c>
      <c r="G288" s="7">
        <v>292.45999999999998</v>
      </c>
      <c r="H288" s="1" t="s">
        <v>4</v>
      </c>
      <c r="I288" s="1" t="s">
        <v>13</v>
      </c>
      <c r="J288" s="1" t="s">
        <v>2</v>
      </c>
      <c r="K288" s="1" t="s">
        <v>1</v>
      </c>
      <c r="L288" s="1" t="s">
        <v>83</v>
      </c>
    </row>
    <row r="289" spans="1:12" x14ac:dyDescent="0.25">
      <c r="A289" s="1" t="s">
        <v>117</v>
      </c>
      <c r="B289" s="1" t="s">
        <v>100</v>
      </c>
      <c r="C289" s="1">
        <v>4263</v>
      </c>
      <c r="D289" s="1">
        <v>34</v>
      </c>
      <c r="E289" s="1">
        <v>40</v>
      </c>
      <c r="F289" s="1">
        <v>336</v>
      </c>
      <c r="G289" s="7">
        <v>1140.1199999999999</v>
      </c>
      <c r="H289" s="1" t="s">
        <v>12</v>
      </c>
      <c r="I289" s="1" t="s">
        <v>3</v>
      </c>
      <c r="J289" s="1" t="s">
        <v>18</v>
      </c>
      <c r="K289" s="1" t="s">
        <v>7</v>
      </c>
      <c r="L289" s="1" t="s">
        <v>83</v>
      </c>
    </row>
    <row r="290" spans="1:12" x14ac:dyDescent="0.25">
      <c r="A290" s="1" t="s">
        <v>116</v>
      </c>
      <c r="B290" s="1" t="s">
        <v>100</v>
      </c>
      <c r="C290" s="1">
        <v>4046</v>
      </c>
      <c r="D290" s="1">
        <v>27</v>
      </c>
      <c r="E290" s="1">
        <v>43</v>
      </c>
      <c r="F290" s="1">
        <v>42</v>
      </c>
      <c r="G290" s="7">
        <v>300.2</v>
      </c>
      <c r="H290" s="1" t="s">
        <v>4</v>
      </c>
      <c r="I290" s="1" t="s">
        <v>13</v>
      </c>
      <c r="J290" s="1" t="s">
        <v>11</v>
      </c>
      <c r="K290" s="1" t="s">
        <v>1</v>
      </c>
      <c r="L290" s="1" t="s">
        <v>83</v>
      </c>
    </row>
    <row r="291" spans="1:12" x14ac:dyDescent="0.25">
      <c r="A291" s="1" t="s">
        <v>115</v>
      </c>
      <c r="B291" s="1" t="s">
        <v>100</v>
      </c>
      <c r="C291" s="1">
        <v>4175</v>
      </c>
      <c r="D291" s="1">
        <v>40</v>
      </c>
      <c r="E291" s="1">
        <v>25</v>
      </c>
      <c r="F291" s="1">
        <v>353</v>
      </c>
      <c r="G291" s="7">
        <v>261.92</v>
      </c>
      <c r="H291" s="1" t="s">
        <v>14</v>
      </c>
      <c r="I291" s="1" t="s">
        <v>13</v>
      </c>
      <c r="J291" s="1" t="s">
        <v>18</v>
      </c>
      <c r="K291" s="1" t="s">
        <v>7</v>
      </c>
      <c r="L291" s="1" t="s">
        <v>83</v>
      </c>
    </row>
    <row r="292" spans="1:12" x14ac:dyDescent="0.25">
      <c r="A292" s="1" t="s">
        <v>114</v>
      </c>
      <c r="B292" s="1" t="s">
        <v>100</v>
      </c>
      <c r="C292" s="1">
        <v>3392</v>
      </c>
      <c r="D292" s="1">
        <v>44</v>
      </c>
      <c r="E292" s="1">
        <v>38</v>
      </c>
      <c r="F292" s="1">
        <v>414</v>
      </c>
      <c r="G292" s="7">
        <v>2182.12</v>
      </c>
      <c r="H292" s="1" t="s">
        <v>12</v>
      </c>
      <c r="I292" s="1" t="s">
        <v>13</v>
      </c>
      <c r="J292" s="1" t="s">
        <v>18</v>
      </c>
      <c r="K292" s="1" t="s">
        <v>17</v>
      </c>
      <c r="L292" s="1" t="s">
        <v>83</v>
      </c>
    </row>
    <row r="293" spans="1:12" x14ac:dyDescent="0.25">
      <c r="A293" s="1" t="s">
        <v>113</v>
      </c>
      <c r="B293" s="1" t="s">
        <v>100</v>
      </c>
      <c r="C293" s="1">
        <v>3459</v>
      </c>
      <c r="D293" s="1">
        <v>37</v>
      </c>
      <c r="E293" s="1">
        <v>34</v>
      </c>
      <c r="F293" s="1">
        <v>101</v>
      </c>
      <c r="G293" s="7">
        <v>2092.58</v>
      </c>
      <c r="H293" s="1" t="s">
        <v>19</v>
      </c>
      <c r="I293" s="1" t="s">
        <v>13</v>
      </c>
      <c r="J293" s="1" t="s">
        <v>18</v>
      </c>
      <c r="K293" s="1" t="s">
        <v>17</v>
      </c>
      <c r="L293" s="1" t="s">
        <v>83</v>
      </c>
    </row>
    <row r="294" spans="1:12" x14ac:dyDescent="0.25">
      <c r="A294" s="1" t="s">
        <v>112</v>
      </c>
      <c r="B294" s="1" t="s">
        <v>100</v>
      </c>
      <c r="C294" s="1">
        <v>676</v>
      </c>
      <c r="D294" s="1">
        <v>26</v>
      </c>
      <c r="E294" s="1">
        <v>31</v>
      </c>
      <c r="F294" s="1">
        <v>359</v>
      </c>
      <c r="G294" s="7">
        <v>607.63</v>
      </c>
      <c r="H294" s="1" t="s">
        <v>19</v>
      </c>
      <c r="I294" s="1" t="s">
        <v>13</v>
      </c>
      <c r="J294" s="1" t="s">
        <v>11</v>
      </c>
      <c r="K294" s="1" t="s">
        <v>1</v>
      </c>
      <c r="L294" s="1" t="s">
        <v>83</v>
      </c>
    </row>
    <row r="295" spans="1:12" x14ac:dyDescent="0.25">
      <c r="A295" s="1" t="s">
        <v>111</v>
      </c>
      <c r="B295" s="1" t="s">
        <v>100</v>
      </c>
      <c r="C295" s="1">
        <v>1519</v>
      </c>
      <c r="D295" s="1">
        <v>19</v>
      </c>
      <c r="E295" s="1">
        <v>34</v>
      </c>
      <c r="F295" s="1">
        <v>352</v>
      </c>
      <c r="G295" s="7">
        <v>974.67</v>
      </c>
      <c r="H295" s="1" t="s">
        <v>12</v>
      </c>
      <c r="I295" s="1" t="s">
        <v>13</v>
      </c>
      <c r="J295" s="1" t="s">
        <v>11</v>
      </c>
      <c r="K295" s="1" t="s">
        <v>17</v>
      </c>
      <c r="L295" s="1" t="s">
        <v>83</v>
      </c>
    </row>
    <row r="296" spans="1:12" x14ac:dyDescent="0.25">
      <c r="A296" s="1" t="s">
        <v>110</v>
      </c>
      <c r="B296" s="1" t="s">
        <v>100</v>
      </c>
      <c r="C296" s="1">
        <v>3684</v>
      </c>
      <c r="D296" s="1">
        <v>18</v>
      </c>
      <c r="E296" s="1">
        <v>18</v>
      </c>
      <c r="F296" s="1">
        <v>186</v>
      </c>
      <c r="G296" s="7">
        <v>1688.36</v>
      </c>
      <c r="H296" s="1" t="s">
        <v>14</v>
      </c>
      <c r="I296" s="1" t="s">
        <v>13</v>
      </c>
      <c r="J296" s="1" t="s">
        <v>18</v>
      </c>
      <c r="K296" s="1" t="s">
        <v>10</v>
      </c>
      <c r="L296" s="1" t="s">
        <v>83</v>
      </c>
    </row>
    <row r="297" spans="1:12" x14ac:dyDescent="0.25">
      <c r="A297" s="1" t="s">
        <v>109</v>
      </c>
      <c r="B297" s="1" t="s">
        <v>100</v>
      </c>
      <c r="C297" s="1">
        <v>3956</v>
      </c>
      <c r="D297" s="1">
        <v>14</v>
      </c>
      <c r="E297" s="1">
        <v>42</v>
      </c>
      <c r="F297" s="1">
        <v>217</v>
      </c>
      <c r="G297" s="7">
        <v>1352.74</v>
      </c>
      <c r="H297" s="1" t="s">
        <v>14</v>
      </c>
      <c r="I297" s="1" t="s">
        <v>13</v>
      </c>
      <c r="J297" s="1" t="s">
        <v>18</v>
      </c>
      <c r="K297" s="1" t="s">
        <v>10</v>
      </c>
      <c r="L297" s="1" t="s">
        <v>83</v>
      </c>
    </row>
    <row r="298" spans="1:12" x14ac:dyDescent="0.25">
      <c r="A298" s="1" t="s">
        <v>108</v>
      </c>
      <c r="B298" s="1" t="s">
        <v>100</v>
      </c>
      <c r="C298" s="1">
        <v>1664</v>
      </c>
      <c r="D298" s="1">
        <v>26</v>
      </c>
      <c r="E298" s="1">
        <v>-3</v>
      </c>
      <c r="F298" s="1">
        <v>449</v>
      </c>
      <c r="G298" s="7">
        <v>1388.01</v>
      </c>
      <c r="H298" s="1" t="s">
        <v>12</v>
      </c>
      <c r="I298" s="1" t="s">
        <v>3</v>
      </c>
      <c r="J298" s="1" t="s">
        <v>18</v>
      </c>
      <c r="K298" s="1" t="s">
        <v>10</v>
      </c>
      <c r="L298" s="1" t="s">
        <v>83</v>
      </c>
    </row>
    <row r="299" spans="1:12" x14ac:dyDescent="0.25">
      <c r="A299" s="1" t="s">
        <v>107</v>
      </c>
      <c r="B299" s="1" t="s">
        <v>100</v>
      </c>
      <c r="C299" s="1">
        <v>1731</v>
      </c>
      <c r="D299" s="1">
        <v>28</v>
      </c>
      <c r="E299" s="1">
        <v>40</v>
      </c>
      <c r="F299" s="1">
        <v>85</v>
      </c>
      <c r="G299" s="7">
        <v>2238.3200000000002</v>
      </c>
      <c r="H299" s="1" t="s">
        <v>12</v>
      </c>
      <c r="I299" s="1" t="s">
        <v>13</v>
      </c>
      <c r="J299" s="1" t="s">
        <v>18</v>
      </c>
      <c r="K299" s="1" t="s">
        <v>7</v>
      </c>
      <c r="L299" s="1" t="s">
        <v>83</v>
      </c>
    </row>
    <row r="300" spans="1:12" x14ac:dyDescent="0.25">
      <c r="A300" s="1" t="s">
        <v>106</v>
      </c>
      <c r="B300" s="1" t="s">
        <v>100</v>
      </c>
      <c r="C300" s="1">
        <v>1685</v>
      </c>
      <c r="D300" s="1">
        <v>38</v>
      </c>
      <c r="E300" s="1">
        <v>44</v>
      </c>
      <c r="F300" s="1">
        <v>187</v>
      </c>
      <c r="G300" s="7">
        <v>648.15</v>
      </c>
      <c r="H300" s="1" t="s">
        <v>12</v>
      </c>
      <c r="I300" s="1" t="s">
        <v>13</v>
      </c>
      <c r="J300" s="1" t="s">
        <v>18</v>
      </c>
      <c r="K300" s="1" t="s">
        <v>1</v>
      </c>
      <c r="L300" s="1" t="s">
        <v>83</v>
      </c>
    </row>
    <row r="301" spans="1:12" x14ac:dyDescent="0.25">
      <c r="A301" s="1" t="s">
        <v>105</v>
      </c>
      <c r="B301" s="1" t="s">
        <v>100</v>
      </c>
      <c r="C301" s="1">
        <v>1452</v>
      </c>
      <c r="D301" s="1">
        <v>30</v>
      </c>
      <c r="E301" s="1">
        <v>1</v>
      </c>
      <c r="F301" s="1">
        <v>99</v>
      </c>
      <c r="G301" s="7">
        <v>1521.94</v>
      </c>
      <c r="H301" s="1" t="s">
        <v>14</v>
      </c>
      <c r="I301" s="1" t="s">
        <v>3</v>
      </c>
      <c r="J301" s="1" t="s">
        <v>18</v>
      </c>
      <c r="K301" s="1" t="s">
        <v>7</v>
      </c>
      <c r="L301" s="1" t="s">
        <v>83</v>
      </c>
    </row>
    <row r="302" spans="1:12" x14ac:dyDescent="0.25">
      <c r="A302" s="1" t="s">
        <v>104</v>
      </c>
      <c r="B302" s="1" t="s">
        <v>100</v>
      </c>
      <c r="C302" s="1">
        <v>4124</v>
      </c>
      <c r="D302" s="1">
        <v>29</v>
      </c>
      <c r="E302" s="1">
        <v>49</v>
      </c>
      <c r="F302" s="1">
        <v>228</v>
      </c>
      <c r="G302" s="7">
        <v>1557.66</v>
      </c>
      <c r="H302" s="1" t="s">
        <v>29</v>
      </c>
      <c r="I302" s="1" t="s">
        <v>13</v>
      </c>
      <c r="J302" s="1" t="s">
        <v>2</v>
      </c>
      <c r="K302" s="1" t="s">
        <v>10</v>
      </c>
      <c r="L302" s="1" t="s">
        <v>83</v>
      </c>
    </row>
    <row r="303" spans="1:12" x14ac:dyDescent="0.25">
      <c r="A303" s="1" t="s">
        <v>103</v>
      </c>
      <c r="B303" s="1" t="s">
        <v>100</v>
      </c>
      <c r="C303" s="1">
        <v>4908</v>
      </c>
      <c r="D303" s="1">
        <v>17</v>
      </c>
      <c r="E303" s="1">
        <v>40</v>
      </c>
      <c r="F303" s="1">
        <v>134</v>
      </c>
      <c r="G303" s="7">
        <v>80.69</v>
      </c>
      <c r="H303" s="1" t="s">
        <v>12</v>
      </c>
      <c r="I303" s="1" t="s">
        <v>3</v>
      </c>
      <c r="J303" s="1" t="s">
        <v>18</v>
      </c>
      <c r="K303" s="1" t="s">
        <v>7</v>
      </c>
      <c r="L303" s="1" t="s">
        <v>83</v>
      </c>
    </row>
    <row r="304" spans="1:12" x14ac:dyDescent="0.25">
      <c r="A304" s="1" t="s">
        <v>102</v>
      </c>
      <c r="B304" s="1" t="s">
        <v>100</v>
      </c>
      <c r="C304" s="1">
        <v>4578</v>
      </c>
      <c r="D304" s="1">
        <v>42</v>
      </c>
      <c r="E304" s="1">
        <v>8</v>
      </c>
      <c r="F304" s="1">
        <v>37</v>
      </c>
      <c r="G304" s="7">
        <v>2309.29</v>
      </c>
      <c r="H304" s="1" t="s">
        <v>12</v>
      </c>
      <c r="I304" s="1" t="s">
        <v>13</v>
      </c>
      <c r="J304" s="1" t="s">
        <v>18</v>
      </c>
      <c r="K304" s="1" t="s">
        <v>7</v>
      </c>
      <c r="L304" s="1" t="s">
        <v>83</v>
      </c>
    </row>
    <row r="305" spans="1:12" x14ac:dyDescent="0.25">
      <c r="A305" s="1" t="s">
        <v>101</v>
      </c>
      <c r="B305" s="1" t="s">
        <v>100</v>
      </c>
      <c r="C305" s="1">
        <v>3709</v>
      </c>
      <c r="D305" s="1">
        <v>37</v>
      </c>
      <c r="E305" s="1">
        <v>28</v>
      </c>
      <c r="F305" s="1">
        <v>328</v>
      </c>
      <c r="G305" s="7">
        <v>715.95</v>
      </c>
      <c r="H305" s="1" t="s">
        <v>14</v>
      </c>
      <c r="I305" s="1" t="s">
        <v>3</v>
      </c>
      <c r="J305" s="1" t="s">
        <v>18</v>
      </c>
      <c r="K305" s="1" t="s">
        <v>10</v>
      </c>
      <c r="L305" s="1" t="s">
        <v>83</v>
      </c>
    </row>
    <row r="306" spans="1:12" x14ac:dyDescent="0.25">
      <c r="A306" s="1" t="s">
        <v>99</v>
      </c>
      <c r="B306" s="1" t="s">
        <v>68</v>
      </c>
      <c r="C306" s="1">
        <v>1828</v>
      </c>
      <c r="D306" s="1">
        <v>28</v>
      </c>
      <c r="E306" s="1">
        <v>25</v>
      </c>
      <c r="F306" s="1">
        <v>243</v>
      </c>
      <c r="G306" s="7">
        <v>1218.3499999999999</v>
      </c>
      <c r="H306" s="1" t="s">
        <v>14</v>
      </c>
      <c r="I306" s="1" t="s">
        <v>3</v>
      </c>
      <c r="J306" s="1" t="s">
        <v>18</v>
      </c>
      <c r="K306" s="1" t="s">
        <v>7</v>
      </c>
      <c r="L306" s="1" t="s">
        <v>83</v>
      </c>
    </row>
    <row r="307" spans="1:12" x14ac:dyDescent="0.25">
      <c r="A307" s="1" t="s">
        <v>98</v>
      </c>
      <c r="B307" s="1" t="s">
        <v>68</v>
      </c>
      <c r="C307" s="1">
        <v>2822</v>
      </c>
      <c r="D307" s="1">
        <v>8</v>
      </c>
      <c r="E307" s="1">
        <v>38</v>
      </c>
      <c r="F307" s="1">
        <v>223</v>
      </c>
      <c r="G307" s="7">
        <v>552.84</v>
      </c>
      <c r="H307" s="1" t="s">
        <v>4</v>
      </c>
      <c r="I307" s="1" t="s">
        <v>13</v>
      </c>
      <c r="J307" s="1" t="s">
        <v>18</v>
      </c>
      <c r="K307" s="1" t="s">
        <v>10</v>
      </c>
      <c r="L307" s="1" t="s">
        <v>83</v>
      </c>
    </row>
    <row r="308" spans="1:12" x14ac:dyDescent="0.25">
      <c r="A308" s="1" t="s">
        <v>97</v>
      </c>
      <c r="B308" s="1" t="s">
        <v>68</v>
      </c>
      <c r="C308" s="1">
        <v>931</v>
      </c>
      <c r="D308" s="1">
        <v>24</v>
      </c>
      <c r="E308" s="1">
        <v>40</v>
      </c>
      <c r="F308" s="1">
        <v>218</v>
      </c>
      <c r="G308" s="7">
        <v>813.77</v>
      </c>
      <c r="H308" s="1" t="s">
        <v>19</v>
      </c>
      <c r="I308" s="1" t="s">
        <v>3</v>
      </c>
      <c r="J308" s="1" t="s">
        <v>18</v>
      </c>
      <c r="K308" s="1" t="s">
        <v>10</v>
      </c>
      <c r="L308" s="1" t="s">
        <v>83</v>
      </c>
    </row>
    <row r="309" spans="1:12" x14ac:dyDescent="0.25">
      <c r="A309" s="1" t="s">
        <v>96</v>
      </c>
      <c r="B309" s="1" t="s">
        <v>68</v>
      </c>
      <c r="C309" s="1">
        <v>4016</v>
      </c>
      <c r="D309" s="1">
        <v>3</v>
      </c>
      <c r="E309" s="1">
        <v>10</v>
      </c>
      <c r="F309" s="1">
        <v>49</v>
      </c>
      <c r="G309" s="7">
        <v>2192.9</v>
      </c>
      <c r="H309" s="1" t="s">
        <v>14</v>
      </c>
      <c r="I309" s="1" t="s">
        <v>13</v>
      </c>
      <c r="J309" s="1" t="s">
        <v>11</v>
      </c>
      <c r="K309" s="1" t="s">
        <v>10</v>
      </c>
      <c r="L309" s="1" t="s">
        <v>83</v>
      </c>
    </row>
    <row r="310" spans="1:12" x14ac:dyDescent="0.25">
      <c r="A310" s="1" t="s">
        <v>95</v>
      </c>
      <c r="B310" s="1" t="s">
        <v>68</v>
      </c>
      <c r="C310" s="1">
        <v>1139</v>
      </c>
      <c r="D310" s="1">
        <v>9</v>
      </c>
      <c r="E310" s="1">
        <v>36</v>
      </c>
      <c r="F310" s="1">
        <v>250</v>
      </c>
      <c r="G310" s="7">
        <v>1842.34</v>
      </c>
      <c r="H310" s="1" t="s">
        <v>25</v>
      </c>
      <c r="I310" s="1" t="s">
        <v>13</v>
      </c>
      <c r="J310" s="1" t="s">
        <v>18</v>
      </c>
      <c r="K310" s="1" t="s">
        <v>10</v>
      </c>
      <c r="L310" s="1" t="s">
        <v>83</v>
      </c>
    </row>
    <row r="311" spans="1:12" x14ac:dyDescent="0.25">
      <c r="A311" s="1" t="s">
        <v>94</v>
      </c>
      <c r="B311" s="1" t="s">
        <v>68</v>
      </c>
      <c r="C311" s="1">
        <v>2730</v>
      </c>
      <c r="D311" s="1">
        <v>23</v>
      </c>
      <c r="E311" s="1">
        <v>28</v>
      </c>
      <c r="F311" s="1">
        <v>153</v>
      </c>
      <c r="G311" s="7">
        <v>795.37</v>
      </c>
      <c r="H311" s="1" t="s">
        <v>14</v>
      </c>
      <c r="I311" s="1" t="s">
        <v>13</v>
      </c>
      <c r="J311" s="1" t="s">
        <v>18</v>
      </c>
      <c r="K311" s="1" t="s">
        <v>21</v>
      </c>
      <c r="L311" s="1" t="s">
        <v>83</v>
      </c>
    </row>
    <row r="312" spans="1:12" x14ac:dyDescent="0.25">
      <c r="A312" s="1" t="s">
        <v>93</v>
      </c>
      <c r="B312" s="1" t="s">
        <v>68</v>
      </c>
      <c r="C312" s="1">
        <v>2025</v>
      </c>
      <c r="D312" s="1">
        <v>9</v>
      </c>
      <c r="E312" s="1">
        <v>22</v>
      </c>
      <c r="F312" s="1">
        <v>84</v>
      </c>
      <c r="G312" s="7">
        <v>1660.39</v>
      </c>
      <c r="H312" s="1" t="s">
        <v>4</v>
      </c>
      <c r="I312" s="1" t="s">
        <v>13</v>
      </c>
      <c r="J312" s="1" t="s">
        <v>18</v>
      </c>
      <c r="K312" s="1" t="s">
        <v>21</v>
      </c>
      <c r="L312" s="1" t="s">
        <v>83</v>
      </c>
    </row>
    <row r="313" spans="1:12" x14ac:dyDescent="0.25">
      <c r="A313" s="1" t="s">
        <v>92</v>
      </c>
      <c r="B313" s="1" t="s">
        <v>68</v>
      </c>
      <c r="C313" s="1">
        <v>2166</v>
      </c>
      <c r="D313" s="1">
        <v>27</v>
      </c>
      <c r="E313" s="1">
        <v>29</v>
      </c>
      <c r="F313" s="1">
        <v>397</v>
      </c>
      <c r="G313" s="7">
        <v>28.07</v>
      </c>
      <c r="H313" s="1" t="s">
        <v>12</v>
      </c>
      <c r="I313" s="1" t="s">
        <v>13</v>
      </c>
      <c r="J313" s="1" t="s">
        <v>18</v>
      </c>
      <c r="K313" s="1" t="s">
        <v>10</v>
      </c>
      <c r="L313" s="1" t="s">
        <v>83</v>
      </c>
    </row>
    <row r="314" spans="1:12" x14ac:dyDescent="0.25">
      <c r="A314" s="1" t="s">
        <v>91</v>
      </c>
      <c r="B314" s="1" t="s">
        <v>68</v>
      </c>
      <c r="C314" s="1">
        <v>2749</v>
      </c>
      <c r="D314" s="1">
        <v>15</v>
      </c>
      <c r="E314" s="1">
        <v>32</v>
      </c>
      <c r="F314" s="1">
        <v>362</v>
      </c>
      <c r="G314" s="7">
        <v>2213.46</v>
      </c>
      <c r="H314" s="1" t="s">
        <v>14</v>
      </c>
      <c r="I314" s="1" t="s">
        <v>13</v>
      </c>
      <c r="J314" s="1" t="s">
        <v>18</v>
      </c>
      <c r="K314" s="1" t="s">
        <v>7</v>
      </c>
      <c r="L314" s="1" t="s">
        <v>83</v>
      </c>
    </row>
    <row r="315" spans="1:12" x14ac:dyDescent="0.25">
      <c r="A315" s="1" t="s">
        <v>90</v>
      </c>
      <c r="B315" s="1" t="s">
        <v>68</v>
      </c>
      <c r="C315" s="1">
        <v>3400</v>
      </c>
      <c r="D315" s="1">
        <v>24</v>
      </c>
      <c r="E315" s="1">
        <v>43</v>
      </c>
      <c r="F315" s="1">
        <v>67</v>
      </c>
      <c r="G315" s="7">
        <v>1822.1</v>
      </c>
      <c r="H315" s="1" t="s">
        <v>25</v>
      </c>
      <c r="I315" s="1" t="s">
        <v>3</v>
      </c>
      <c r="J315" s="1" t="s">
        <v>18</v>
      </c>
      <c r="K315" s="1" t="s">
        <v>10</v>
      </c>
      <c r="L315" s="1" t="s">
        <v>83</v>
      </c>
    </row>
    <row r="316" spans="1:12" x14ac:dyDescent="0.25">
      <c r="A316" s="1" t="s">
        <v>89</v>
      </c>
      <c r="B316" s="1" t="s">
        <v>68</v>
      </c>
      <c r="C316" s="1">
        <v>2351</v>
      </c>
      <c r="D316" s="1">
        <v>45</v>
      </c>
      <c r="E316" s="1">
        <v>-1</v>
      </c>
      <c r="F316" s="1">
        <v>362</v>
      </c>
      <c r="G316" s="7">
        <v>835.38</v>
      </c>
      <c r="H316" s="1" t="s">
        <v>12</v>
      </c>
      <c r="I316" s="1" t="s">
        <v>3</v>
      </c>
      <c r="J316" s="1" t="s">
        <v>18</v>
      </c>
      <c r="K316" s="1" t="s">
        <v>1</v>
      </c>
      <c r="L316" s="1" t="s">
        <v>83</v>
      </c>
    </row>
    <row r="317" spans="1:12" x14ac:dyDescent="0.25">
      <c r="A317" s="1" t="s">
        <v>88</v>
      </c>
      <c r="B317" s="1" t="s">
        <v>68</v>
      </c>
      <c r="C317" s="1">
        <v>4348</v>
      </c>
      <c r="D317" s="1">
        <v>27</v>
      </c>
      <c r="E317" s="1">
        <v>4</v>
      </c>
      <c r="F317" s="1">
        <v>118</v>
      </c>
      <c r="G317" s="7">
        <v>1464.83</v>
      </c>
      <c r="H317" s="1" t="s">
        <v>12</v>
      </c>
      <c r="I317" s="1" t="s">
        <v>13</v>
      </c>
      <c r="J317" s="1" t="s">
        <v>18</v>
      </c>
      <c r="K317" s="1" t="s">
        <v>21</v>
      </c>
      <c r="L317" s="1" t="s">
        <v>83</v>
      </c>
    </row>
    <row r="318" spans="1:12" x14ac:dyDescent="0.25">
      <c r="A318" s="1" t="s">
        <v>87</v>
      </c>
      <c r="B318" s="1" t="s">
        <v>68</v>
      </c>
      <c r="C318" s="1">
        <v>2118</v>
      </c>
      <c r="D318" s="1">
        <v>36</v>
      </c>
      <c r="E318" s="1">
        <v>26</v>
      </c>
      <c r="F318" s="1">
        <v>134</v>
      </c>
      <c r="G318" s="7">
        <v>27.52</v>
      </c>
      <c r="H318" s="1" t="s">
        <v>25</v>
      </c>
      <c r="I318" s="1" t="s">
        <v>13</v>
      </c>
      <c r="J318" s="1" t="s">
        <v>2</v>
      </c>
      <c r="K318" s="1" t="s">
        <v>17</v>
      </c>
      <c r="L318" s="1" t="s">
        <v>83</v>
      </c>
    </row>
    <row r="319" spans="1:12" x14ac:dyDescent="0.25">
      <c r="A319" s="1" t="s">
        <v>86</v>
      </c>
      <c r="B319" s="1" t="s">
        <v>68</v>
      </c>
      <c r="C319" s="1">
        <v>4857</v>
      </c>
      <c r="D319" s="1">
        <v>42</v>
      </c>
      <c r="E319" s="1">
        <v>22</v>
      </c>
      <c r="F319" s="1">
        <v>45</v>
      </c>
      <c r="G319" s="7">
        <v>490.45</v>
      </c>
      <c r="H319" s="1" t="s">
        <v>12</v>
      </c>
      <c r="I319" s="1" t="s">
        <v>3</v>
      </c>
      <c r="J319" s="1" t="s">
        <v>18</v>
      </c>
      <c r="K319" s="1" t="s">
        <v>7</v>
      </c>
      <c r="L319" s="1" t="s">
        <v>83</v>
      </c>
    </row>
    <row r="320" spans="1:12" x14ac:dyDescent="0.25">
      <c r="A320" s="1" t="s">
        <v>85</v>
      </c>
      <c r="B320" s="1" t="s">
        <v>68</v>
      </c>
      <c r="C320" s="1">
        <v>2234</v>
      </c>
      <c r="D320" s="1">
        <v>8</v>
      </c>
      <c r="E320" s="1">
        <v>32</v>
      </c>
      <c r="F320" s="1">
        <v>112</v>
      </c>
      <c r="G320" s="7">
        <v>2345.1</v>
      </c>
      <c r="H320" s="1" t="s">
        <v>25</v>
      </c>
      <c r="I320" s="1" t="s">
        <v>13</v>
      </c>
      <c r="J320" s="1" t="s">
        <v>18</v>
      </c>
      <c r="K320" s="1" t="s">
        <v>17</v>
      </c>
      <c r="L320" s="1" t="s">
        <v>83</v>
      </c>
    </row>
    <row r="321" spans="1:12" x14ac:dyDescent="0.25">
      <c r="A321" s="1" t="s">
        <v>84</v>
      </c>
      <c r="B321" s="1" t="s">
        <v>68</v>
      </c>
      <c r="C321" s="1">
        <v>2460</v>
      </c>
      <c r="D321" s="1">
        <v>11</v>
      </c>
      <c r="E321" s="1">
        <v>44</v>
      </c>
      <c r="F321" s="1">
        <v>346</v>
      </c>
      <c r="G321" s="7">
        <v>1740.99</v>
      </c>
      <c r="H321" s="1" t="s">
        <v>12</v>
      </c>
      <c r="I321" s="1" t="s">
        <v>13</v>
      </c>
      <c r="J321" s="1" t="s">
        <v>18</v>
      </c>
      <c r="K321" s="1" t="s">
        <v>21</v>
      </c>
      <c r="L321" s="1" t="s">
        <v>83</v>
      </c>
    </row>
    <row r="322" spans="1:12" x14ac:dyDescent="0.25">
      <c r="A322" s="1" t="s">
        <v>82</v>
      </c>
      <c r="B322" s="1" t="s">
        <v>68</v>
      </c>
      <c r="C322" s="1">
        <v>1961</v>
      </c>
      <c r="D322" s="1">
        <v>24</v>
      </c>
      <c r="E322" s="1">
        <v>29</v>
      </c>
      <c r="F322" s="1">
        <v>263</v>
      </c>
      <c r="G322" s="7">
        <v>1667.92</v>
      </c>
      <c r="H322" s="1" t="s">
        <v>29</v>
      </c>
      <c r="I322" s="1" t="s">
        <v>13</v>
      </c>
      <c r="J322" s="1" t="s">
        <v>2</v>
      </c>
      <c r="K322" s="1" t="s">
        <v>1</v>
      </c>
      <c r="L322" s="1" t="s">
        <v>51</v>
      </c>
    </row>
    <row r="323" spans="1:12" x14ac:dyDescent="0.25">
      <c r="A323" s="1" t="s">
        <v>81</v>
      </c>
      <c r="B323" s="1" t="s">
        <v>68</v>
      </c>
      <c r="C323" s="1">
        <v>1143</v>
      </c>
      <c r="D323" s="1">
        <v>9</v>
      </c>
      <c r="E323" s="1">
        <v>45</v>
      </c>
      <c r="F323" s="1">
        <v>274</v>
      </c>
      <c r="G323" s="7">
        <v>105.55</v>
      </c>
      <c r="H323" s="1" t="s">
        <v>4</v>
      </c>
      <c r="I323" s="1" t="s">
        <v>3</v>
      </c>
      <c r="J323" s="1" t="s">
        <v>11</v>
      </c>
      <c r="K323" s="1" t="s">
        <v>7</v>
      </c>
      <c r="L323" s="1" t="s">
        <v>51</v>
      </c>
    </row>
    <row r="324" spans="1:12" x14ac:dyDescent="0.25">
      <c r="A324" s="1" t="s">
        <v>80</v>
      </c>
      <c r="B324" s="1" t="s">
        <v>68</v>
      </c>
      <c r="C324" s="1">
        <v>2911</v>
      </c>
      <c r="D324" s="1">
        <v>36</v>
      </c>
      <c r="E324" s="1">
        <v>23</v>
      </c>
      <c r="F324" s="1">
        <v>149</v>
      </c>
      <c r="G324" s="7">
        <v>2341.0100000000002</v>
      </c>
      <c r="H324" s="1" t="s">
        <v>4</v>
      </c>
      <c r="I324" s="1" t="s">
        <v>13</v>
      </c>
      <c r="J324" s="1" t="s">
        <v>18</v>
      </c>
      <c r="K324" s="1" t="s">
        <v>10</v>
      </c>
      <c r="L324" s="1" t="s">
        <v>51</v>
      </c>
    </row>
    <row r="325" spans="1:12" x14ac:dyDescent="0.25">
      <c r="A325" s="1" t="s">
        <v>79</v>
      </c>
      <c r="B325" s="1" t="s">
        <v>68</v>
      </c>
      <c r="C325" s="1">
        <v>3715</v>
      </c>
      <c r="D325" s="1">
        <v>22</v>
      </c>
      <c r="E325" s="1">
        <v>30</v>
      </c>
      <c r="F325" s="1">
        <v>349</v>
      </c>
      <c r="G325" s="7">
        <v>2487.75</v>
      </c>
      <c r="H325" s="1" t="s">
        <v>12</v>
      </c>
      <c r="I325" s="1" t="s">
        <v>3</v>
      </c>
      <c r="J325" s="1" t="s">
        <v>18</v>
      </c>
      <c r="K325" s="1" t="s">
        <v>7</v>
      </c>
      <c r="L325" s="1" t="s">
        <v>51</v>
      </c>
    </row>
    <row r="326" spans="1:12" x14ac:dyDescent="0.25">
      <c r="A326" s="1" t="s">
        <v>78</v>
      </c>
      <c r="B326" s="1" t="s">
        <v>68</v>
      </c>
      <c r="C326" s="1">
        <v>4591</v>
      </c>
      <c r="D326" s="1">
        <v>20</v>
      </c>
      <c r="E326" s="1">
        <v>-3</v>
      </c>
      <c r="F326" s="1">
        <v>431</v>
      </c>
      <c r="G326" s="7">
        <v>792.39</v>
      </c>
      <c r="H326" s="1" t="s">
        <v>14</v>
      </c>
      <c r="I326" s="1" t="s">
        <v>3</v>
      </c>
      <c r="J326" s="1" t="s">
        <v>18</v>
      </c>
      <c r="K326" s="1" t="s">
        <v>1</v>
      </c>
      <c r="L326" s="1" t="s">
        <v>51</v>
      </c>
    </row>
    <row r="327" spans="1:12" x14ac:dyDescent="0.25">
      <c r="A327" s="1" t="s">
        <v>77</v>
      </c>
      <c r="B327" s="1" t="s">
        <v>68</v>
      </c>
      <c r="C327" s="1">
        <v>3370</v>
      </c>
      <c r="D327" s="1">
        <v>6</v>
      </c>
      <c r="E327" s="1">
        <v>48</v>
      </c>
      <c r="F327" s="1">
        <v>404</v>
      </c>
      <c r="G327" s="7">
        <v>2089.08</v>
      </c>
      <c r="H327" s="1" t="s">
        <v>19</v>
      </c>
      <c r="I327" s="1" t="s">
        <v>13</v>
      </c>
      <c r="J327" s="1" t="s">
        <v>2</v>
      </c>
      <c r="K327" s="1" t="s">
        <v>1</v>
      </c>
      <c r="L327" s="1" t="s">
        <v>51</v>
      </c>
    </row>
    <row r="328" spans="1:12" x14ac:dyDescent="0.25">
      <c r="A328" s="1" t="s">
        <v>76</v>
      </c>
      <c r="B328" s="1" t="s">
        <v>68</v>
      </c>
      <c r="C328" s="1">
        <v>2576</v>
      </c>
      <c r="D328" s="1">
        <v>20</v>
      </c>
      <c r="E328" s="1">
        <v>28</v>
      </c>
      <c r="F328" s="1">
        <v>214</v>
      </c>
      <c r="G328" s="7">
        <v>1316.01</v>
      </c>
      <c r="H328" s="1" t="s">
        <v>14</v>
      </c>
      <c r="I328" s="1" t="s">
        <v>13</v>
      </c>
      <c r="J328" s="1" t="s">
        <v>11</v>
      </c>
      <c r="K328" s="1" t="s">
        <v>10</v>
      </c>
      <c r="L328" s="1" t="s">
        <v>51</v>
      </c>
    </row>
    <row r="329" spans="1:12" x14ac:dyDescent="0.25">
      <c r="A329" s="1" t="s">
        <v>75</v>
      </c>
      <c r="B329" s="1" t="s">
        <v>68</v>
      </c>
      <c r="C329" s="1">
        <v>1416</v>
      </c>
      <c r="D329" s="1">
        <v>15</v>
      </c>
      <c r="E329" s="1">
        <v>21</v>
      </c>
      <c r="F329" s="1">
        <v>272</v>
      </c>
      <c r="G329" s="7">
        <v>790.99</v>
      </c>
      <c r="H329" s="1" t="s">
        <v>12</v>
      </c>
      <c r="I329" s="1" t="s">
        <v>13</v>
      </c>
      <c r="J329" s="1" t="s">
        <v>18</v>
      </c>
      <c r="K329" s="1" t="s">
        <v>10</v>
      </c>
      <c r="L329" s="1" t="s">
        <v>51</v>
      </c>
    </row>
    <row r="330" spans="1:12" x14ac:dyDescent="0.25">
      <c r="A330" s="1" t="s">
        <v>74</v>
      </c>
      <c r="B330" s="1" t="s">
        <v>68</v>
      </c>
      <c r="C330" s="1">
        <v>3790</v>
      </c>
      <c r="D330" s="1">
        <v>29</v>
      </c>
      <c r="E330" s="1">
        <v>23</v>
      </c>
      <c r="F330" s="1">
        <v>405</v>
      </c>
      <c r="G330" s="7">
        <v>1941.82</v>
      </c>
      <c r="H330" s="1" t="s">
        <v>14</v>
      </c>
      <c r="I330" s="1" t="s">
        <v>13</v>
      </c>
      <c r="J330" s="1" t="s">
        <v>18</v>
      </c>
      <c r="K330" s="1" t="s">
        <v>10</v>
      </c>
      <c r="L330" s="1" t="s">
        <v>51</v>
      </c>
    </row>
    <row r="331" spans="1:12" x14ac:dyDescent="0.25">
      <c r="A331" s="1" t="s">
        <v>73</v>
      </c>
      <c r="B331" s="1" t="s">
        <v>68</v>
      </c>
      <c r="C331" s="1">
        <v>1375</v>
      </c>
      <c r="D331" s="1">
        <v>25</v>
      </c>
      <c r="E331" s="1">
        <v>11</v>
      </c>
      <c r="F331" s="1">
        <v>218</v>
      </c>
      <c r="G331" s="7">
        <v>2476.16</v>
      </c>
      <c r="H331" s="1" t="s">
        <v>14</v>
      </c>
      <c r="I331" s="1" t="s">
        <v>13</v>
      </c>
      <c r="J331" s="1" t="s">
        <v>18</v>
      </c>
      <c r="K331" s="1" t="s">
        <v>10</v>
      </c>
      <c r="L331" s="1" t="s">
        <v>51</v>
      </c>
    </row>
    <row r="332" spans="1:12" x14ac:dyDescent="0.25">
      <c r="A332" s="1" t="s">
        <v>72</v>
      </c>
      <c r="B332" s="1" t="s">
        <v>68</v>
      </c>
      <c r="C332" s="1">
        <v>2563</v>
      </c>
      <c r="D332" s="1">
        <v>38</v>
      </c>
      <c r="E332" s="1">
        <v>39</v>
      </c>
      <c r="F332" s="1">
        <v>228</v>
      </c>
      <c r="G332" s="7">
        <v>643.01</v>
      </c>
      <c r="H332" s="1" t="s">
        <v>14</v>
      </c>
      <c r="I332" s="1" t="s">
        <v>13</v>
      </c>
      <c r="J332" s="1" t="s">
        <v>18</v>
      </c>
      <c r="K332" s="1" t="s">
        <v>10</v>
      </c>
      <c r="L332" s="1" t="s">
        <v>51</v>
      </c>
    </row>
    <row r="333" spans="1:12" x14ac:dyDescent="0.25">
      <c r="A333" s="1" t="s">
        <v>71</v>
      </c>
      <c r="B333" s="1" t="s">
        <v>68</v>
      </c>
      <c r="C333" s="1">
        <v>2583</v>
      </c>
      <c r="D333" s="1">
        <v>37</v>
      </c>
      <c r="E333" s="1">
        <v>23</v>
      </c>
      <c r="F333" s="1">
        <v>418</v>
      </c>
      <c r="G333" s="7">
        <v>1963.62</v>
      </c>
      <c r="H333" s="1" t="s">
        <v>14</v>
      </c>
      <c r="I333" s="1" t="s">
        <v>3</v>
      </c>
      <c r="J333" s="1" t="s">
        <v>18</v>
      </c>
      <c r="K333" s="1" t="s">
        <v>10</v>
      </c>
      <c r="L333" s="1" t="s">
        <v>51</v>
      </c>
    </row>
    <row r="334" spans="1:12" x14ac:dyDescent="0.25">
      <c r="A334" s="1" t="s">
        <v>70</v>
      </c>
      <c r="B334" s="1" t="s">
        <v>68</v>
      </c>
      <c r="C334" s="1">
        <v>3521</v>
      </c>
      <c r="D334" s="1">
        <v>36</v>
      </c>
      <c r="E334" s="1">
        <v>6</v>
      </c>
      <c r="F334" s="1">
        <v>361</v>
      </c>
      <c r="G334" s="7">
        <v>580</v>
      </c>
      <c r="H334" s="1" t="s">
        <v>25</v>
      </c>
      <c r="I334" s="1" t="s">
        <v>13</v>
      </c>
      <c r="J334" s="1" t="s">
        <v>18</v>
      </c>
      <c r="K334" s="1" t="s">
        <v>15</v>
      </c>
      <c r="L334" s="1" t="s">
        <v>51</v>
      </c>
    </row>
    <row r="335" spans="1:12" x14ac:dyDescent="0.25">
      <c r="A335" s="1" t="s">
        <v>69</v>
      </c>
      <c r="B335" s="1" t="s">
        <v>68</v>
      </c>
      <c r="C335" s="1">
        <v>1164</v>
      </c>
      <c r="D335" s="1">
        <v>16</v>
      </c>
      <c r="E335" s="1">
        <v>36</v>
      </c>
      <c r="F335" s="1">
        <v>333</v>
      </c>
      <c r="G335" s="7">
        <v>1504.88</v>
      </c>
      <c r="H335" s="1" t="s">
        <v>29</v>
      </c>
      <c r="I335" s="1" t="s">
        <v>13</v>
      </c>
      <c r="J335" s="1" t="s">
        <v>8</v>
      </c>
      <c r="K335" s="1" t="s">
        <v>1</v>
      </c>
      <c r="L335" s="1" t="s">
        <v>51</v>
      </c>
    </row>
    <row r="336" spans="1:12" x14ac:dyDescent="0.25">
      <c r="A336" s="1" t="s">
        <v>67</v>
      </c>
      <c r="B336" s="1" t="s">
        <v>35</v>
      </c>
      <c r="C336" s="1">
        <v>4764</v>
      </c>
      <c r="D336" s="1">
        <v>37</v>
      </c>
      <c r="E336" s="1">
        <v>46</v>
      </c>
      <c r="F336" s="1">
        <v>300</v>
      </c>
      <c r="G336" s="7">
        <v>313.7</v>
      </c>
      <c r="H336" s="1" t="s">
        <v>14</v>
      </c>
      <c r="I336" s="1" t="s">
        <v>13</v>
      </c>
      <c r="J336" s="1" t="s">
        <v>18</v>
      </c>
      <c r="K336" s="1" t="s">
        <v>10</v>
      </c>
      <c r="L336" s="1" t="s">
        <v>51</v>
      </c>
    </row>
    <row r="337" spans="1:12" x14ac:dyDescent="0.25">
      <c r="A337" s="1" t="s">
        <v>66</v>
      </c>
      <c r="B337" s="1" t="s">
        <v>35</v>
      </c>
      <c r="C337" s="1">
        <v>1509</v>
      </c>
      <c r="D337" s="1">
        <v>37</v>
      </c>
      <c r="E337" s="1">
        <v>11</v>
      </c>
      <c r="F337" s="1">
        <v>133</v>
      </c>
      <c r="G337" s="7">
        <v>861.44</v>
      </c>
      <c r="H337" s="1" t="s">
        <v>12</v>
      </c>
      <c r="I337" s="1" t="s">
        <v>13</v>
      </c>
      <c r="J337" s="1" t="s">
        <v>18</v>
      </c>
      <c r="K337" s="1" t="s">
        <v>7</v>
      </c>
      <c r="L337" s="1" t="s">
        <v>51</v>
      </c>
    </row>
    <row r="338" spans="1:12" x14ac:dyDescent="0.25">
      <c r="A338" s="1" t="s">
        <v>65</v>
      </c>
      <c r="B338" s="1" t="s">
        <v>35</v>
      </c>
      <c r="C338" s="1">
        <v>3238</v>
      </c>
      <c r="D338" s="1">
        <v>9</v>
      </c>
      <c r="E338" s="1">
        <v>2</v>
      </c>
      <c r="F338" s="1">
        <v>292</v>
      </c>
      <c r="G338" s="7">
        <v>858.16</v>
      </c>
      <c r="H338" s="1" t="s">
        <v>29</v>
      </c>
      <c r="I338" s="1" t="s">
        <v>13</v>
      </c>
      <c r="J338" s="1" t="s">
        <v>2</v>
      </c>
      <c r="K338" s="1" t="s">
        <v>1</v>
      </c>
      <c r="L338" s="1" t="s">
        <v>51</v>
      </c>
    </row>
    <row r="339" spans="1:12" x14ac:dyDescent="0.25">
      <c r="A339" s="1" t="s">
        <v>64</v>
      </c>
      <c r="B339" s="1" t="s">
        <v>35</v>
      </c>
      <c r="C339" s="1">
        <v>4860</v>
      </c>
      <c r="D339" s="1">
        <v>29</v>
      </c>
      <c r="E339" s="1">
        <v>25</v>
      </c>
      <c r="F339" s="1">
        <v>317</v>
      </c>
      <c r="G339" s="7">
        <v>757.49</v>
      </c>
      <c r="H339" s="1" t="s">
        <v>14</v>
      </c>
      <c r="I339" s="1" t="s">
        <v>3</v>
      </c>
      <c r="J339" s="1" t="s">
        <v>18</v>
      </c>
      <c r="K339" s="1" t="s">
        <v>1</v>
      </c>
      <c r="L339" s="1" t="s">
        <v>51</v>
      </c>
    </row>
    <row r="340" spans="1:12" x14ac:dyDescent="0.25">
      <c r="A340" s="1" t="s">
        <v>63</v>
      </c>
      <c r="B340" s="1" t="s">
        <v>35</v>
      </c>
      <c r="C340" s="1">
        <v>1332</v>
      </c>
      <c r="D340" s="1">
        <v>7</v>
      </c>
      <c r="E340" s="1">
        <v>14</v>
      </c>
      <c r="F340" s="1">
        <v>217</v>
      </c>
      <c r="G340" s="7">
        <v>2045.45</v>
      </c>
      <c r="H340" s="1" t="s">
        <v>12</v>
      </c>
      <c r="I340" s="1" t="s">
        <v>3</v>
      </c>
      <c r="J340" s="1" t="s">
        <v>18</v>
      </c>
      <c r="K340" s="1" t="s">
        <v>10</v>
      </c>
      <c r="L340" s="1" t="s">
        <v>51</v>
      </c>
    </row>
    <row r="341" spans="1:12" x14ac:dyDescent="0.25">
      <c r="A341" s="1" t="s">
        <v>62</v>
      </c>
      <c r="B341" s="1" t="s">
        <v>35</v>
      </c>
      <c r="C341" s="1">
        <v>4845</v>
      </c>
      <c r="D341" s="1">
        <v>13</v>
      </c>
      <c r="E341" s="1">
        <v>8</v>
      </c>
      <c r="F341" s="1">
        <v>100</v>
      </c>
      <c r="G341" s="7">
        <v>542.89</v>
      </c>
      <c r="H341" s="1" t="s">
        <v>19</v>
      </c>
      <c r="I341" s="1" t="s">
        <v>13</v>
      </c>
      <c r="J341" s="1" t="s">
        <v>18</v>
      </c>
      <c r="K341" s="1" t="s">
        <v>17</v>
      </c>
      <c r="L341" s="1" t="s">
        <v>51</v>
      </c>
    </row>
    <row r="342" spans="1:12" x14ac:dyDescent="0.25">
      <c r="A342" s="1" t="s">
        <v>61</v>
      </c>
      <c r="B342" s="1" t="s">
        <v>35</v>
      </c>
      <c r="C342" s="1">
        <v>1735</v>
      </c>
      <c r="D342" s="1">
        <v>44</v>
      </c>
      <c r="E342" s="1">
        <v>24</v>
      </c>
      <c r="F342" s="1">
        <v>403</v>
      </c>
      <c r="G342" s="7">
        <v>394.21</v>
      </c>
      <c r="H342" s="1" t="s">
        <v>12</v>
      </c>
      <c r="I342" s="1" t="s">
        <v>13</v>
      </c>
      <c r="J342" s="1" t="s">
        <v>18</v>
      </c>
      <c r="K342" s="1" t="s">
        <v>7</v>
      </c>
      <c r="L342" s="1" t="s">
        <v>51</v>
      </c>
    </row>
    <row r="343" spans="1:12" x14ac:dyDescent="0.25">
      <c r="A343" s="1" t="s">
        <v>60</v>
      </c>
      <c r="B343" s="1" t="s">
        <v>35</v>
      </c>
      <c r="C343" s="1">
        <v>2747</v>
      </c>
      <c r="D343" s="1">
        <v>13</v>
      </c>
      <c r="E343" s="1">
        <v>15</v>
      </c>
      <c r="F343" s="1">
        <v>349</v>
      </c>
      <c r="G343" s="7">
        <v>2072.27</v>
      </c>
      <c r="H343" s="1" t="s">
        <v>14</v>
      </c>
      <c r="I343" s="1" t="s">
        <v>13</v>
      </c>
      <c r="J343" s="1" t="s">
        <v>11</v>
      </c>
      <c r="K343" s="1" t="s">
        <v>10</v>
      </c>
      <c r="L343" s="1" t="s">
        <v>51</v>
      </c>
    </row>
    <row r="344" spans="1:12" x14ac:dyDescent="0.25">
      <c r="A344" s="1" t="s">
        <v>59</v>
      </c>
      <c r="B344" s="1" t="s">
        <v>35</v>
      </c>
      <c r="C344" s="1">
        <v>1732</v>
      </c>
      <c r="D344" s="1">
        <v>36</v>
      </c>
      <c r="E344" s="1">
        <v>1</v>
      </c>
      <c r="F344" s="1">
        <v>322</v>
      </c>
      <c r="G344" s="7">
        <v>380.52</v>
      </c>
      <c r="H344" s="1" t="s">
        <v>14</v>
      </c>
      <c r="I344" s="1" t="s">
        <v>13</v>
      </c>
      <c r="J344" s="1" t="s">
        <v>18</v>
      </c>
      <c r="K344" s="1" t="s">
        <v>10</v>
      </c>
      <c r="L344" s="1" t="s">
        <v>51</v>
      </c>
    </row>
    <row r="345" spans="1:12" x14ac:dyDescent="0.25">
      <c r="A345" s="1" t="s">
        <v>58</v>
      </c>
      <c r="B345" s="1" t="s">
        <v>35</v>
      </c>
      <c r="C345" s="1">
        <v>3708</v>
      </c>
      <c r="D345" s="1">
        <v>9</v>
      </c>
      <c r="E345" s="1">
        <v>50</v>
      </c>
      <c r="F345" s="1">
        <v>113</v>
      </c>
      <c r="G345" s="7">
        <v>2385.5500000000002</v>
      </c>
      <c r="H345" s="1" t="s">
        <v>19</v>
      </c>
      <c r="I345" s="1" t="s">
        <v>3</v>
      </c>
      <c r="J345" s="1" t="s">
        <v>18</v>
      </c>
      <c r="K345" s="1" t="s">
        <v>1</v>
      </c>
      <c r="L345" s="1" t="s">
        <v>51</v>
      </c>
    </row>
    <row r="346" spans="1:12" x14ac:dyDescent="0.25">
      <c r="A346" s="1" t="s">
        <v>57</v>
      </c>
      <c r="B346" s="1" t="s">
        <v>35</v>
      </c>
      <c r="C346" s="1">
        <v>4442</v>
      </c>
      <c r="D346" s="1">
        <v>18</v>
      </c>
      <c r="E346" s="1">
        <v>46</v>
      </c>
      <c r="F346" s="1">
        <v>29</v>
      </c>
      <c r="G346" s="7">
        <v>305.31</v>
      </c>
      <c r="H346" s="1" t="s">
        <v>12</v>
      </c>
      <c r="I346" s="1" t="s">
        <v>13</v>
      </c>
      <c r="J346" s="1" t="s">
        <v>18</v>
      </c>
      <c r="K346" s="1" t="s">
        <v>17</v>
      </c>
      <c r="L346" s="1" t="s">
        <v>51</v>
      </c>
    </row>
    <row r="347" spans="1:12" x14ac:dyDescent="0.25">
      <c r="A347" s="1" t="s">
        <v>56</v>
      </c>
      <c r="B347" s="1" t="s">
        <v>35</v>
      </c>
      <c r="C347" s="1">
        <v>4370</v>
      </c>
      <c r="D347" s="1">
        <v>38</v>
      </c>
      <c r="E347" s="1">
        <v>21</v>
      </c>
      <c r="F347" s="1">
        <v>241</v>
      </c>
      <c r="G347" s="7">
        <v>11.22</v>
      </c>
      <c r="H347" s="1" t="s">
        <v>12</v>
      </c>
      <c r="I347" s="1" t="s">
        <v>13</v>
      </c>
      <c r="J347" s="1" t="s">
        <v>18</v>
      </c>
      <c r="K347" s="1" t="s">
        <v>10</v>
      </c>
      <c r="L347" s="1" t="s">
        <v>51</v>
      </c>
    </row>
    <row r="348" spans="1:12" x14ac:dyDescent="0.25">
      <c r="A348" s="1" t="s">
        <v>55</v>
      </c>
      <c r="B348" s="1" t="s">
        <v>35</v>
      </c>
      <c r="C348" s="1">
        <v>4231</v>
      </c>
      <c r="D348" s="1">
        <v>45</v>
      </c>
      <c r="E348" s="1">
        <v>2</v>
      </c>
      <c r="F348" s="1">
        <v>233</v>
      </c>
      <c r="G348" s="7">
        <v>1665.15</v>
      </c>
      <c r="H348" s="1" t="s">
        <v>12</v>
      </c>
      <c r="I348" s="1" t="s">
        <v>3</v>
      </c>
      <c r="J348" s="1" t="s">
        <v>11</v>
      </c>
      <c r="K348" s="1" t="s">
        <v>1</v>
      </c>
      <c r="L348" s="1" t="s">
        <v>51</v>
      </c>
    </row>
    <row r="349" spans="1:12" x14ac:dyDescent="0.25">
      <c r="A349" s="1" t="s">
        <v>54</v>
      </c>
      <c r="B349" s="1" t="s">
        <v>35</v>
      </c>
      <c r="C349" s="1">
        <v>4952</v>
      </c>
      <c r="D349" s="1">
        <v>19</v>
      </c>
      <c r="E349" s="1">
        <v>7</v>
      </c>
      <c r="F349" s="1">
        <v>93</v>
      </c>
      <c r="G349" s="7">
        <v>1108.6199999999999</v>
      </c>
      <c r="H349" s="1" t="s">
        <v>19</v>
      </c>
      <c r="I349" s="1" t="s">
        <v>3</v>
      </c>
      <c r="J349" s="1" t="s">
        <v>18</v>
      </c>
      <c r="K349" s="1" t="s">
        <v>7</v>
      </c>
      <c r="L349" s="1" t="s">
        <v>51</v>
      </c>
    </row>
    <row r="350" spans="1:12" x14ac:dyDescent="0.25">
      <c r="A350" s="1" t="s">
        <v>53</v>
      </c>
      <c r="B350" s="1" t="s">
        <v>35</v>
      </c>
      <c r="C350" s="1">
        <v>3037</v>
      </c>
      <c r="D350" s="1">
        <v>29</v>
      </c>
      <c r="E350" s="1">
        <v>45</v>
      </c>
      <c r="F350" s="1">
        <v>402</v>
      </c>
      <c r="G350" s="7">
        <v>1061.83</v>
      </c>
      <c r="H350" s="1" t="s">
        <v>14</v>
      </c>
      <c r="I350" s="1" t="s">
        <v>13</v>
      </c>
      <c r="J350" s="1" t="s">
        <v>18</v>
      </c>
      <c r="K350" s="1" t="s">
        <v>7</v>
      </c>
      <c r="L350" s="1" t="s">
        <v>51</v>
      </c>
    </row>
    <row r="351" spans="1:12" x14ac:dyDescent="0.25">
      <c r="A351" s="1" t="s">
        <v>52</v>
      </c>
      <c r="B351" s="1" t="s">
        <v>35</v>
      </c>
      <c r="C351" s="1">
        <v>4635</v>
      </c>
      <c r="D351" s="1">
        <v>30</v>
      </c>
      <c r="E351" s="1">
        <v>34</v>
      </c>
      <c r="F351" s="1">
        <v>187</v>
      </c>
      <c r="G351" s="7">
        <v>1487.39</v>
      </c>
      <c r="H351" s="1" t="s">
        <v>12</v>
      </c>
      <c r="I351" s="1" t="s">
        <v>13</v>
      </c>
      <c r="J351" s="1" t="s">
        <v>11</v>
      </c>
      <c r="K351" s="1" t="s">
        <v>1</v>
      </c>
      <c r="L351" s="1" t="s">
        <v>51</v>
      </c>
    </row>
    <row r="352" spans="1:12" x14ac:dyDescent="0.25">
      <c r="A352" s="1" t="s">
        <v>50</v>
      </c>
      <c r="B352" s="1" t="s">
        <v>35</v>
      </c>
      <c r="C352" s="1">
        <v>2747</v>
      </c>
      <c r="D352" s="1">
        <v>43</v>
      </c>
      <c r="E352" s="1">
        <v>26</v>
      </c>
      <c r="F352" s="1">
        <v>339</v>
      </c>
      <c r="G352" s="7">
        <v>1407.47</v>
      </c>
      <c r="H352" s="1" t="s">
        <v>4</v>
      </c>
      <c r="I352" s="1" t="s">
        <v>13</v>
      </c>
      <c r="J352" s="1" t="s">
        <v>8</v>
      </c>
      <c r="K352" s="1" t="s">
        <v>15</v>
      </c>
      <c r="L352" s="1" t="s">
        <v>6</v>
      </c>
    </row>
    <row r="353" spans="1:12" x14ac:dyDescent="0.25">
      <c r="A353" s="1" t="s">
        <v>49</v>
      </c>
      <c r="B353" s="1" t="s">
        <v>35</v>
      </c>
      <c r="C353" s="1">
        <v>4414</v>
      </c>
      <c r="D353" s="1">
        <v>17</v>
      </c>
      <c r="E353" s="1">
        <v>35</v>
      </c>
      <c r="F353" s="1">
        <v>132</v>
      </c>
      <c r="G353" s="7">
        <v>1758.76</v>
      </c>
      <c r="H353" s="1" t="s">
        <v>12</v>
      </c>
      <c r="I353" s="1" t="s">
        <v>3</v>
      </c>
      <c r="J353" s="1" t="s">
        <v>18</v>
      </c>
      <c r="K353" s="1" t="s">
        <v>7</v>
      </c>
      <c r="L353" s="1" t="s">
        <v>6</v>
      </c>
    </row>
    <row r="354" spans="1:12" x14ac:dyDescent="0.25">
      <c r="A354" s="1" t="s">
        <v>48</v>
      </c>
      <c r="B354" s="1" t="s">
        <v>35</v>
      </c>
      <c r="C354" s="1">
        <v>4560</v>
      </c>
      <c r="D354" s="1">
        <v>23</v>
      </c>
      <c r="E354" s="1">
        <v>47</v>
      </c>
      <c r="F354" s="1">
        <v>58</v>
      </c>
      <c r="G354" s="7">
        <v>220.58</v>
      </c>
      <c r="H354" s="1" t="s">
        <v>14</v>
      </c>
      <c r="I354" s="1" t="s">
        <v>13</v>
      </c>
      <c r="J354" s="1" t="s">
        <v>11</v>
      </c>
      <c r="K354" s="1" t="s">
        <v>7</v>
      </c>
      <c r="L354" s="1" t="s">
        <v>6</v>
      </c>
    </row>
    <row r="355" spans="1:12" x14ac:dyDescent="0.25">
      <c r="A355" s="1" t="s">
        <v>47</v>
      </c>
      <c r="B355" s="1" t="s">
        <v>35</v>
      </c>
      <c r="C355" s="1">
        <v>2942</v>
      </c>
      <c r="D355" s="1">
        <v>32</v>
      </c>
      <c r="E355" s="1">
        <v>36</v>
      </c>
      <c r="F355" s="1">
        <v>250</v>
      </c>
      <c r="G355" s="7">
        <v>650.63</v>
      </c>
      <c r="H355" s="1" t="s">
        <v>14</v>
      </c>
      <c r="I355" s="1" t="s">
        <v>3</v>
      </c>
      <c r="J355" s="1" t="s">
        <v>18</v>
      </c>
      <c r="K355" s="1" t="s">
        <v>1</v>
      </c>
      <c r="L355" s="1" t="s">
        <v>6</v>
      </c>
    </row>
    <row r="356" spans="1:12" x14ac:dyDescent="0.25">
      <c r="A356" s="1" t="s">
        <v>46</v>
      </c>
      <c r="B356" s="1" t="s">
        <v>35</v>
      </c>
      <c r="C356" s="1">
        <v>2216</v>
      </c>
      <c r="D356" s="1">
        <v>10</v>
      </c>
      <c r="E356" s="1">
        <v>22</v>
      </c>
      <c r="F356" s="1">
        <v>140</v>
      </c>
      <c r="G356" s="7">
        <v>1218.71</v>
      </c>
      <c r="H356" s="1" t="s">
        <v>12</v>
      </c>
      <c r="I356" s="1" t="s">
        <v>13</v>
      </c>
      <c r="J356" s="1" t="s">
        <v>18</v>
      </c>
      <c r="K356" s="1" t="s">
        <v>7</v>
      </c>
      <c r="L356" s="1" t="s">
        <v>6</v>
      </c>
    </row>
    <row r="357" spans="1:12" x14ac:dyDescent="0.25">
      <c r="A357" s="1" t="s">
        <v>45</v>
      </c>
      <c r="B357" s="1" t="s">
        <v>35</v>
      </c>
      <c r="C357" s="1">
        <v>517</v>
      </c>
      <c r="D357" s="1">
        <v>27</v>
      </c>
      <c r="E357" s="1">
        <v>31</v>
      </c>
      <c r="F357" s="1">
        <v>303</v>
      </c>
      <c r="G357" s="7">
        <v>2205.64</v>
      </c>
      <c r="H357" s="1" t="s">
        <v>19</v>
      </c>
      <c r="I357" s="1" t="s">
        <v>13</v>
      </c>
      <c r="J357" s="1" t="s">
        <v>18</v>
      </c>
      <c r="K357" s="1" t="s">
        <v>1</v>
      </c>
      <c r="L357" s="1" t="s">
        <v>6</v>
      </c>
    </row>
    <row r="358" spans="1:12" x14ac:dyDescent="0.25">
      <c r="A358" s="1" t="s">
        <v>44</v>
      </c>
      <c r="B358" s="1" t="s">
        <v>35</v>
      </c>
      <c r="C358" s="1">
        <v>4257</v>
      </c>
      <c r="D358" s="1">
        <v>32</v>
      </c>
      <c r="E358" s="1">
        <v>41</v>
      </c>
      <c r="F358" s="1">
        <v>337</v>
      </c>
      <c r="G358" s="7">
        <v>2341.71</v>
      </c>
      <c r="H358" s="1" t="s">
        <v>29</v>
      </c>
      <c r="I358" s="1" t="s">
        <v>13</v>
      </c>
      <c r="J358" s="1" t="s">
        <v>11</v>
      </c>
      <c r="K358" s="1" t="s">
        <v>7</v>
      </c>
      <c r="L358" s="1" t="s">
        <v>6</v>
      </c>
    </row>
    <row r="359" spans="1:12" x14ac:dyDescent="0.25">
      <c r="A359" s="1" t="s">
        <v>43</v>
      </c>
      <c r="B359" s="1" t="s">
        <v>35</v>
      </c>
      <c r="C359" s="1">
        <v>1456</v>
      </c>
      <c r="D359" s="1">
        <v>13</v>
      </c>
      <c r="E359" s="1">
        <v>33</v>
      </c>
      <c r="F359" s="1">
        <v>278</v>
      </c>
      <c r="G359" s="7">
        <v>777.69</v>
      </c>
      <c r="H359" s="1" t="s">
        <v>12</v>
      </c>
      <c r="I359" s="1" t="s">
        <v>13</v>
      </c>
      <c r="J359" s="1" t="s">
        <v>11</v>
      </c>
      <c r="K359" s="1" t="s">
        <v>1</v>
      </c>
      <c r="L359" s="1" t="s">
        <v>6</v>
      </c>
    </row>
    <row r="360" spans="1:12" x14ac:dyDescent="0.25">
      <c r="A360" s="1" t="s">
        <v>42</v>
      </c>
      <c r="B360" s="1" t="s">
        <v>35</v>
      </c>
      <c r="C360" s="1">
        <v>813</v>
      </c>
      <c r="D360" s="1">
        <v>41</v>
      </c>
      <c r="E360" s="1">
        <v>32</v>
      </c>
      <c r="F360" s="1">
        <v>245</v>
      </c>
      <c r="G360" s="7">
        <v>1696.16</v>
      </c>
      <c r="H360" s="1" t="s">
        <v>4</v>
      </c>
      <c r="I360" s="1" t="s">
        <v>13</v>
      </c>
      <c r="J360" s="1" t="s">
        <v>18</v>
      </c>
      <c r="K360" s="1" t="s">
        <v>7</v>
      </c>
      <c r="L360" s="1" t="s">
        <v>6</v>
      </c>
    </row>
    <row r="361" spans="1:12" x14ac:dyDescent="0.25">
      <c r="A361" s="1" t="s">
        <v>41</v>
      </c>
      <c r="B361" s="1" t="s">
        <v>35</v>
      </c>
      <c r="C361" s="1">
        <v>2233</v>
      </c>
      <c r="D361" s="1">
        <v>17</v>
      </c>
      <c r="E361" s="1">
        <v>43</v>
      </c>
      <c r="F361" s="1">
        <v>178</v>
      </c>
      <c r="G361" s="7">
        <v>857.82</v>
      </c>
      <c r="H361" s="1" t="s">
        <v>14</v>
      </c>
      <c r="I361" s="1" t="s">
        <v>3</v>
      </c>
      <c r="J361" s="1" t="s">
        <v>2</v>
      </c>
      <c r="K361" s="1" t="s">
        <v>7</v>
      </c>
      <c r="L361" s="1" t="s">
        <v>6</v>
      </c>
    </row>
    <row r="362" spans="1:12" x14ac:dyDescent="0.25">
      <c r="A362" s="1" t="s">
        <v>40</v>
      </c>
      <c r="B362" s="1" t="s">
        <v>35</v>
      </c>
      <c r="C362" s="1">
        <v>1700</v>
      </c>
      <c r="D362" s="1">
        <v>9</v>
      </c>
      <c r="E362" s="1">
        <v>42</v>
      </c>
      <c r="F362" s="1">
        <v>43</v>
      </c>
      <c r="G362" s="7">
        <v>1161.8</v>
      </c>
      <c r="H362" s="1" t="s">
        <v>12</v>
      </c>
      <c r="I362" s="1" t="s">
        <v>13</v>
      </c>
      <c r="J362" s="1" t="s">
        <v>2</v>
      </c>
      <c r="K362" s="1" t="s">
        <v>1</v>
      </c>
      <c r="L362" s="1" t="s">
        <v>6</v>
      </c>
    </row>
    <row r="363" spans="1:12" x14ac:dyDescent="0.25">
      <c r="A363" s="1" t="s">
        <v>39</v>
      </c>
      <c r="B363" s="1" t="s">
        <v>35</v>
      </c>
      <c r="C363" s="1">
        <v>4862</v>
      </c>
      <c r="D363" s="1">
        <v>12</v>
      </c>
      <c r="E363" s="1">
        <v>6</v>
      </c>
      <c r="F363" s="1">
        <v>40</v>
      </c>
      <c r="G363" s="7">
        <v>1438.42</v>
      </c>
      <c r="H363" s="1" t="s">
        <v>4</v>
      </c>
      <c r="I363" s="1" t="s">
        <v>3</v>
      </c>
      <c r="J363" s="1" t="s">
        <v>18</v>
      </c>
      <c r="K363" s="1" t="s">
        <v>10</v>
      </c>
      <c r="L363" s="1" t="s">
        <v>6</v>
      </c>
    </row>
    <row r="364" spans="1:12" x14ac:dyDescent="0.25">
      <c r="A364" s="1" t="s">
        <v>38</v>
      </c>
      <c r="B364" s="1" t="s">
        <v>35</v>
      </c>
      <c r="C364" s="1">
        <v>2249</v>
      </c>
      <c r="D364" s="1">
        <v>22</v>
      </c>
      <c r="E364" s="1">
        <v>32</v>
      </c>
      <c r="F364" s="1">
        <v>311</v>
      </c>
      <c r="G364" s="7">
        <v>2433.9899999999998</v>
      </c>
      <c r="H364" s="1" t="s">
        <v>12</v>
      </c>
      <c r="I364" s="1" t="s">
        <v>3</v>
      </c>
      <c r="J364" s="1" t="s">
        <v>8</v>
      </c>
      <c r="K364" s="1" t="s">
        <v>1</v>
      </c>
      <c r="L364" s="1" t="s">
        <v>6</v>
      </c>
    </row>
    <row r="365" spans="1:12" x14ac:dyDescent="0.25">
      <c r="A365" s="1" t="s">
        <v>37</v>
      </c>
      <c r="B365" s="1" t="s">
        <v>35</v>
      </c>
      <c r="C365" s="1">
        <v>2731</v>
      </c>
      <c r="D365" s="1">
        <v>16</v>
      </c>
      <c r="E365" s="1">
        <v>41</v>
      </c>
      <c r="F365" s="1">
        <v>327</v>
      </c>
      <c r="G365" s="7">
        <v>1338.38</v>
      </c>
      <c r="H365" s="1" t="s">
        <v>14</v>
      </c>
      <c r="I365" s="1" t="s">
        <v>13</v>
      </c>
      <c r="J365" s="1" t="s">
        <v>18</v>
      </c>
      <c r="K365" s="1" t="s">
        <v>15</v>
      </c>
      <c r="L365" s="1" t="s">
        <v>6</v>
      </c>
    </row>
    <row r="366" spans="1:12" x14ac:dyDescent="0.25">
      <c r="A366" s="1" t="s">
        <v>36</v>
      </c>
      <c r="B366" s="1" t="s">
        <v>35</v>
      </c>
      <c r="C366" s="1">
        <v>2851</v>
      </c>
      <c r="D366" s="1">
        <v>10</v>
      </c>
      <c r="E366" s="1">
        <v>42</v>
      </c>
      <c r="F366" s="1">
        <v>352</v>
      </c>
      <c r="G366" s="7">
        <v>1623.67</v>
      </c>
      <c r="H366" s="1" t="s">
        <v>12</v>
      </c>
      <c r="I366" s="1" t="s">
        <v>3</v>
      </c>
      <c r="J366" s="1" t="s">
        <v>18</v>
      </c>
      <c r="K366" s="1" t="s">
        <v>21</v>
      </c>
      <c r="L366" s="1" t="s">
        <v>6</v>
      </c>
    </row>
    <row r="367" spans="1:12" x14ac:dyDescent="0.25">
      <c r="A367" s="5">
        <v>46023</v>
      </c>
      <c r="B367" s="4" t="s">
        <v>34</v>
      </c>
      <c r="C367" s="4">
        <v>3515</v>
      </c>
      <c r="D367" s="3">
        <v>43</v>
      </c>
      <c r="E367" s="3">
        <v>14</v>
      </c>
      <c r="F367" s="3">
        <v>377</v>
      </c>
      <c r="G367" s="6">
        <v>757.57</v>
      </c>
      <c r="H367" s="1" t="s">
        <v>12</v>
      </c>
      <c r="I367" s="1" t="s">
        <v>3</v>
      </c>
      <c r="J367" s="1" t="s">
        <v>11</v>
      </c>
      <c r="K367" s="1" t="s">
        <v>21</v>
      </c>
      <c r="L367" s="1" t="s">
        <v>6</v>
      </c>
    </row>
    <row r="368" spans="1:12" x14ac:dyDescent="0.25">
      <c r="A368" s="5">
        <v>46024</v>
      </c>
      <c r="B368" s="4" t="s">
        <v>34</v>
      </c>
      <c r="C368" s="4">
        <v>3213</v>
      </c>
      <c r="D368" s="3">
        <v>20</v>
      </c>
      <c r="E368" s="3">
        <v>36</v>
      </c>
      <c r="F368" s="3">
        <v>328</v>
      </c>
      <c r="G368" s="2">
        <v>1136.2</v>
      </c>
      <c r="H368" s="1" t="s">
        <v>4</v>
      </c>
      <c r="I368" s="1" t="s">
        <v>13</v>
      </c>
      <c r="J368" s="1" t="s">
        <v>18</v>
      </c>
      <c r="K368" s="1" t="s">
        <v>1</v>
      </c>
      <c r="L368" s="1" t="s">
        <v>6</v>
      </c>
    </row>
    <row r="369" spans="1:12" x14ac:dyDescent="0.25">
      <c r="A369" s="5">
        <v>46025</v>
      </c>
      <c r="B369" s="4" t="s">
        <v>34</v>
      </c>
      <c r="C369" s="4">
        <v>4652</v>
      </c>
      <c r="D369" s="3">
        <v>26</v>
      </c>
      <c r="E369" s="3">
        <v>47</v>
      </c>
      <c r="F369" s="3">
        <v>345</v>
      </c>
      <c r="G369" s="2">
        <v>2182.9299999999998</v>
      </c>
      <c r="H369" s="1" t="s">
        <v>14</v>
      </c>
      <c r="I369" s="1" t="s">
        <v>13</v>
      </c>
      <c r="J369" s="1" t="s">
        <v>18</v>
      </c>
      <c r="K369" s="1" t="s">
        <v>1</v>
      </c>
      <c r="L369" s="1" t="s">
        <v>6</v>
      </c>
    </row>
    <row r="370" spans="1:12" x14ac:dyDescent="0.25">
      <c r="A370" s="5">
        <v>46026</v>
      </c>
      <c r="B370" s="4" t="s">
        <v>34</v>
      </c>
      <c r="C370" s="4">
        <v>2843</v>
      </c>
      <c r="D370" s="3">
        <v>16</v>
      </c>
      <c r="E370" s="3">
        <v>17</v>
      </c>
      <c r="F370" s="3">
        <v>375</v>
      </c>
      <c r="G370" s="2">
        <v>247.98</v>
      </c>
      <c r="H370" s="1" t="s">
        <v>12</v>
      </c>
      <c r="I370" s="1" t="s">
        <v>3</v>
      </c>
      <c r="J370" s="1" t="s">
        <v>18</v>
      </c>
      <c r="K370" s="1" t="s">
        <v>15</v>
      </c>
      <c r="L370" s="1" t="s">
        <v>6</v>
      </c>
    </row>
    <row r="371" spans="1:12" x14ac:dyDescent="0.25">
      <c r="A371" s="5">
        <v>46027</v>
      </c>
      <c r="B371" s="4" t="s">
        <v>34</v>
      </c>
      <c r="C371" s="4">
        <v>2207</v>
      </c>
      <c r="D371" s="3">
        <v>31</v>
      </c>
      <c r="E371" s="3">
        <v>1</v>
      </c>
      <c r="F371" s="3">
        <v>267</v>
      </c>
      <c r="G371" s="2">
        <v>567.62</v>
      </c>
      <c r="H371" s="1" t="s">
        <v>14</v>
      </c>
      <c r="I371" s="1" t="s">
        <v>3</v>
      </c>
      <c r="J371" s="1" t="s">
        <v>11</v>
      </c>
      <c r="K371" s="1" t="s">
        <v>10</v>
      </c>
      <c r="L371" s="1" t="s">
        <v>6</v>
      </c>
    </row>
    <row r="372" spans="1:12" x14ac:dyDescent="0.25">
      <c r="A372" s="5">
        <v>46028</v>
      </c>
      <c r="B372" s="4" t="s">
        <v>34</v>
      </c>
      <c r="C372" s="4">
        <v>1999</v>
      </c>
      <c r="D372" s="3">
        <v>20</v>
      </c>
      <c r="E372" s="3">
        <v>23</v>
      </c>
      <c r="F372" s="3">
        <v>48</v>
      </c>
      <c r="G372" s="2">
        <v>1736.58</v>
      </c>
      <c r="H372" s="1" t="s">
        <v>14</v>
      </c>
      <c r="I372" s="1" t="s">
        <v>13</v>
      </c>
      <c r="J372" s="1" t="s">
        <v>18</v>
      </c>
      <c r="K372" s="1" t="s">
        <v>7</v>
      </c>
      <c r="L372" s="1" t="s">
        <v>6</v>
      </c>
    </row>
    <row r="373" spans="1:12" x14ac:dyDescent="0.25">
      <c r="A373" s="5">
        <v>46029</v>
      </c>
      <c r="B373" s="4" t="s">
        <v>34</v>
      </c>
      <c r="C373" s="4">
        <v>2497</v>
      </c>
      <c r="D373" s="3">
        <v>16</v>
      </c>
      <c r="E373" s="3">
        <v>31</v>
      </c>
      <c r="F373" s="3">
        <v>92</v>
      </c>
      <c r="G373" s="2">
        <v>1791.42</v>
      </c>
      <c r="H373" s="1" t="s">
        <v>14</v>
      </c>
      <c r="I373" s="1" t="s">
        <v>13</v>
      </c>
      <c r="J373" s="1" t="s">
        <v>11</v>
      </c>
      <c r="K373" s="1" t="s">
        <v>7</v>
      </c>
      <c r="L373" s="1" t="s">
        <v>6</v>
      </c>
    </row>
    <row r="374" spans="1:12" x14ac:dyDescent="0.25">
      <c r="A374" s="5">
        <v>46030</v>
      </c>
      <c r="B374" s="4" t="s">
        <v>34</v>
      </c>
      <c r="C374" s="4">
        <v>1807</v>
      </c>
      <c r="D374" s="3">
        <v>14</v>
      </c>
      <c r="E374" s="3">
        <v>-3</v>
      </c>
      <c r="F374" s="3">
        <v>332</v>
      </c>
      <c r="G374" s="2">
        <v>300.58999999999997</v>
      </c>
      <c r="H374" s="1" t="s">
        <v>29</v>
      </c>
      <c r="I374" s="1" t="s">
        <v>13</v>
      </c>
      <c r="J374" s="1" t="s">
        <v>11</v>
      </c>
      <c r="K374" s="1" t="s">
        <v>10</v>
      </c>
      <c r="L374" s="1" t="s">
        <v>6</v>
      </c>
    </row>
    <row r="375" spans="1:12" x14ac:dyDescent="0.25">
      <c r="A375" s="5">
        <v>46031</v>
      </c>
      <c r="B375" s="4" t="s">
        <v>34</v>
      </c>
      <c r="C375" s="4">
        <v>2530</v>
      </c>
      <c r="D375" s="3">
        <v>24</v>
      </c>
      <c r="E375" s="3">
        <v>29</v>
      </c>
      <c r="F375" s="3">
        <v>300</v>
      </c>
      <c r="G375" s="2">
        <v>907.25</v>
      </c>
      <c r="H375" s="1" t="s">
        <v>25</v>
      </c>
      <c r="I375" s="1" t="s">
        <v>13</v>
      </c>
      <c r="J375" s="1" t="s">
        <v>18</v>
      </c>
      <c r="K375" s="1" t="s">
        <v>10</v>
      </c>
      <c r="L375" s="1" t="s">
        <v>6</v>
      </c>
    </row>
    <row r="376" spans="1:12" x14ac:dyDescent="0.25">
      <c r="A376" s="5">
        <v>46032</v>
      </c>
      <c r="B376" s="4" t="s">
        <v>34</v>
      </c>
      <c r="C376" s="4">
        <v>2724</v>
      </c>
      <c r="D376" s="3">
        <v>7</v>
      </c>
      <c r="E376" s="3">
        <v>20</v>
      </c>
      <c r="F376" s="3">
        <v>224</v>
      </c>
      <c r="G376" s="2">
        <v>1264.42</v>
      </c>
      <c r="H376" s="1" t="s">
        <v>14</v>
      </c>
      <c r="I376" s="1" t="s">
        <v>3</v>
      </c>
      <c r="J376" s="1" t="s">
        <v>18</v>
      </c>
      <c r="K376" s="1" t="s">
        <v>10</v>
      </c>
      <c r="L376" s="1" t="s">
        <v>6</v>
      </c>
    </row>
    <row r="377" spans="1:12" x14ac:dyDescent="0.25">
      <c r="A377" s="5">
        <v>46033</v>
      </c>
      <c r="B377" s="4" t="s">
        <v>34</v>
      </c>
      <c r="C377" s="4">
        <v>2881</v>
      </c>
      <c r="D377" s="3">
        <v>31</v>
      </c>
      <c r="E377" s="3">
        <v>26</v>
      </c>
      <c r="F377" s="3">
        <v>403</v>
      </c>
      <c r="G377" s="2">
        <v>284.5</v>
      </c>
      <c r="H377" s="1" t="s">
        <v>12</v>
      </c>
      <c r="I377" s="1" t="s">
        <v>13</v>
      </c>
      <c r="J377" s="1" t="s">
        <v>2</v>
      </c>
      <c r="K377" s="1" t="s">
        <v>10</v>
      </c>
      <c r="L377" s="1" t="s">
        <v>6</v>
      </c>
    </row>
    <row r="378" spans="1:12" x14ac:dyDescent="0.25">
      <c r="A378" s="5">
        <v>46034</v>
      </c>
      <c r="B378" s="4" t="s">
        <v>34</v>
      </c>
      <c r="C378" s="4">
        <v>5018</v>
      </c>
      <c r="D378" s="3">
        <v>11</v>
      </c>
      <c r="E378" s="3">
        <v>59</v>
      </c>
      <c r="F378" s="3">
        <v>428</v>
      </c>
      <c r="G378" s="2">
        <v>460.3</v>
      </c>
      <c r="H378" s="1" t="s">
        <v>12</v>
      </c>
      <c r="I378" s="1" t="s">
        <v>3</v>
      </c>
      <c r="J378" s="1" t="s">
        <v>11</v>
      </c>
      <c r="K378" s="1" t="s">
        <v>7</v>
      </c>
      <c r="L378" s="1" t="s">
        <v>6</v>
      </c>
    </row>
    <row r="379" spans="1:12" x14ac:dyDescent="0.25">
      <c r="A379" s="5">
        <v>46035</v>
      </c>
      <c r="B379" s="4" t="s">
        <v>34</v>
      </c>
      <c r="C379" s="4">
        <v>1220</v>
      </c>
      <c r="D379" s="3">
        <v>29</v>
      </c>
      <c r="E379" s="3">
        <v>-3</v>
      </c>
      <c r="F379" s="3">
        <v>27</v>
      </c>
      <c r="G379" s="2">
        <v>973.47</v>
      </c>
      <c r="H379" s="1" t="s">
        <v>12</v>
      </c>
      <c r="I379" s="1" t="s">
        <v>13</v>
      </c>
      <c r="J379" s="1" t="s">
        <v>18</v>
      </c>
      <c r="K379" s="1" t="s">
        <v>10</v>
      </c>
      <c r="L379" s="1" t="s">
        <v>6</v>
      </c>
    </row>
    <row r="380" spans="1:12" x14ac:dyDescent="0.25">
      <c r="A380" s="5">
        <v>46036</v>
      </c>
      <c r="B380" s="4" t="s">
        <v>34</v>
      </c>
      <c r="C380" s="4">
        <v>2152</v>
      </c>
      <c r="D380" s="3">
        <v>29</v>
      </c>
      <c r="E380" s="3">
        <v>37</v>
      </c>
      <c r="F380" s="3">
        <v>422</v>
      </c>
      <c r="G380" s="2">
        <v>2138.0700000000002</v>
      </c>
      <c r="H380" s="1" t="s">
        <v>29</v>
      </c>
      <c r="I380" s="1" t="s">
        <v>3</v>
      </c>
      <c r="J380" s="1" t="s">
        <v>2</v>
      </c>
      <c r="K380" s="1" t="s">
        <v>7</v>
      </c>
      <c r="L380" s="1" t="s">
        <v>6</v>
      </c>
    </row>
    <row r="381" spans="1:12" x14ac:dyDescent="0.25">
      <c r="A381" s="5">
        <v>46037</v>
      </c>
      <c r="B381" s="4" t="s">
        <v>34</v>
      </c>
      <c r="C381" s="4">
        <v>1280</v>
      </c>
      <c r="D381" s="3">
        <v>17</v>
      </c>
      <c r="E381" s="3">
        <v>11</v>
      </c>
      <c r="F381" s="3">
        <v>91</v>
      </c>
      <c r="G381" s="2">
        <v>1044.25</v>
      </c>
      <c r="H381" s="1" t="s">
        <v>4</v>
      </c>
      <c r="I381" s="1" t="s">
        <v>13</v>
      </c>
      <c r="J381" s="1" t="s">
        <v>18</v>
      </c>
      <c r="K381" s="1" t="s">
        <v>10</v>
      </c>
      <c r="L381" s="1" t="s">
        <v>6</v>
      </c>
    </row>
    <row r="382" spans="1:12" x14ac:dyDescent="0.25">
      <c r="A382" s="5">
        <v>46038</v>
      </c>
      <c r="B382" s="4" t="s">
        <v>34</v>
      </c>
      <c r="C382" s="4">
        <v>2237</v>
      </c>
      <c r="D382" s="3">
        <v>20</v>
      </c>
      <c r="E382" s="3">
        <v>24</v>
      </c>
      <c r="F382" s="3">
        <v>209</v>
      </c>
      <c r="G382" s="2">
        <v>1563.36</v>
      </c>
      <c r="H382" s="1" t="s">
        <v>14</v>
      </c>
      <c r="I382" s="1" t="s">
        <v>3</v>
      </c>
      <c r="J382" s="1" t="s">
        <v>8</v>
      </c>
      <c r="K382" s="1" t="s">
        <v>10</v>
      </c>
      <c r="L382" s="1" t="s">
        <v>33</v>
      </c>
    </row>
    <row r="383" spans="1:12" x14ac:dyDescent="0.25">
      <c r="A383" s="5">
        <v>46039</v>
      </c>
      <c r="B383" s="4" t="s">
        <v>34</v>
      </c>
      <c r="C383" s="4">
        <v>4329</v>
      </c>
      <c r="D383" s="3">
        <v>13</v>
      </c>
      <c r="E383" s="3">
        <v>34</v>
      </c>
      <c r="F383" s="3">
        <v>384</v>
      </c>
      <c r="G383" s="2">
        <v>1050.19</v>
      </c>
      <c r="H383" s="1" t="s">
        <v>12</v>
      </c>
      <c r="I383" s="1" t="s">
        <v>13</v>
      </c>
      <c r="J383" s="1" t="s">
        <v>18</v>
      </c>
      <c r="K383" s="1" t="s">
        <v>10</v>
      </c>
      <c r="L383" s="1" t="s">
        <v>33</v>
      </c>
    </row>
    <row r="384" spans="1:12" x14ac:dyDescent="0.25">
      <c r="A384" s="5">
        <v>46040</v>
      </c>
      <c r="B384" s="4" t="s">
        <v>34</v>
      </c>
      <c r="C384" s="4">
        <v>4286</v>
      </c>
      <c r="D384" s="3">
        <v>20</v>
      </c>
      <c r="E384" s="3">
        <v>52</v>
      </c>
      <c r="F384" s="3">
        <v>262</v>
      </c>
      <c r="G384" s="2">
        <v>143.46</v>
      </c>
      <c r="H384" s="1" t="s">
        <v>12</v>
      </c>
      <c r="I384" s="1" t="s">
        <v>13</v>
      </c>
      <c r="J384" s="1" t="s">
        <v>11</v>
      </c>
      <c r="K384" s="1" t="s">
        <v>1</v>
      </c>
      <c r="L384" s="1" t="s">
        <v>33</v>
      </c>
    </row>
    <row r="385" spans="1:12" x14ac:dyDescent="0.25">
      <c r="A385" s="5">
        <v>46041</v>
      </c>
      <c r="B385" s="4" t="s">
        <v>34</v>
      </c>
      <c r="C385" s="4">
        <v>2024</v>
      </c>
      <c r="D385" s="3">
        <v>21</v>
      </c>
      <c r="E385" s="3">
        <v>18</v>
      </c>
      <c r="F385" s="3">
        <v>440</v>
      </c>
      <c r="G385" s="2">
        <v>1532.4</v>
      </c>
      <c r="H385" s="1" t="s">
        <v>14</v>
      </c>
      <c r="I385" s="1" t="s">
        <v>13</v>
      </c>
      <c r="J385" s="1" t="s">
        <v>2</v>
      </c>
      <c r="K385" s="1" t="s">
        <v>10</v>
      </c>
      <c r="L385" s="1" t="s">
        <v>33</v>
      </c>
    </row>
    <row r="386" spans="1:12" x14ac:dyDescent="0.25">
      <c r="A386" s="5">
        <v>46042</v>
      </c>
      <c r="B386" s="4" t="s">
        <v>34</v>
      </c>
      <c r="C386" s="4">
        <v>2507</v>
      </c>
      <c r="D386" s="3">
        <v>8</v>
      </c>
      <c r="E386" s="3">
        <v>16</v>
      </c>
      <c r="F386" s="3">
        <v>95</v>
      </c>
      <c r="G386" s="2">
        <v>1092.83</v>
      </c>
      <c r="H386" s="1" t="s">
        <v>12</v>
      </c>
      <c r="I386" s="1" t="s">
        <v>13</v>
      </c>
      <c r="J386" s="1" t="s">
        <v>18</v>
      </c>
      <c r="K386" s="1" t="s">
        <v>10</v>
      </c>
      <c r="L386" s="1" t="s">
        <v>33</v>
      </c>
    </row>
    <row r="387" spans="1:12" x14ac:dyDescent="0.25">
      <c r="A387" s="5">
        <v>46043</v>
      </c>
      <c r="B387" s="4" t="s">
        <v>34</v>
      </c>
      <c r="C387" s="4">
        <v>2446</v>
      </c>
      <c r="D387" s="3">
        <v>13</v>
      </c>
      <c r="E387" s="3">
        <v>41</v>
      </c>
      <c r="F387" s="3">
        <v>199</v>
      </c>
      <c r="G387" s="2">
        <v>1440.69</v>
      </c>
      <c r="H387" s="1" t="s">
        <v>14</v>
      </c>
      <c r="I387" s="1" t="s">
        <v>13</v>
      </c>
      <c r="J387" s="1" t="s">
        <v>18</v>
      </c>
      <c r="K387" s="1" t="s">
        <v>17</v>
      </c>
      <c r="L387" s="1" t="s">
        <v>33</v>
      </c>
    </row>
    <row r="388" spans="1:12" x14ac:dyDescent="0.25">
      <c r="A388" s="5">
        <v>46044</v>
      </c>
      <c r="B388" s="4" t="s">
        <v>34</v>
      </c>
      <c r="C388" s="4">
        <v>3250</v>
      </c>
      <c r="D388" s="3">
        <v>25</v>
      </c>
      <c r="E388" s="3">
        <v>40</v>
      </c>
      <c r="F388" s="3">
        <v>324</v>
      </c>
      <c r="G388" s="2">
        <v>2110.27</v>
      </c>
      <c r="H388" s="1" t="s">
        <v>25</v>
      </c>
      <c r="I388" s="1" t="s">
        <v>13</v>
      </c>
      <c r="J388" s="1" t="s">
        <v>11</v>
      </c>
      <c r="K388" s="1" t="s">
        <v>7</v>
      </c>
      <c r="L388" s="1" t="s">
        <v>33</v>
      </c>
    </row>
    <row r="389" spans="1:12" x14ac:dyDescent="0.25">
      <c r="A389" s="5">
        <v>46045</v>
      </c>
      <c r="B389" s="4" t="s">
        <v>34</v>
      </c>
      <c r="C389" s="4">
        <v>3082</v>
      </c>
      <c r="D389" s="3">
        <v>19</v>
      </c>
      <c r="E389" s="3">
        <v>29</v>
      </c>
      <c r="F389" s="3">
        <v>281</v>
      </c>
      <c r="G389" s="2">
        <v>2139.15</v>
      </c>
      <c r="H389" s="1" t="s">
        <v>19</v>
      </c>
      <c r="I389" s="1" t="s">
        <v>3</v>
      </c>
      <c r="J389" s="1" t="s">
        <v>11</v>
      </c>
      <c r="K389" s="1" t="s">
        <v>1</v>
      </c>
      <c r="L389" s="1" t="s">
        <v>33</v>
      </c>
    </row>
    <row r="390" spans="1:12" x14ac:dyDescent="0.25">
      <c r="A390" s="5">
        <v>46046</v>
      </c>
      <c r="B390" s="4" t="s">
        <v>34</v>
      </c>
      <c r="C390" s="4">
        <v>3332</v>
      </c>
      <c r="D390" s="3">
        <v>18</v>
      </c>
      <c r="E390" s="3">
        <v>-3</v>
      </c>
      <c r="F390" s="3">
        <v>323</v>
      </c>
      <c r="G390" s="2">
        <v>1414.69</v>
      </c>
      <c r="H390" s="1" t="s">
        <v>4</v>
      </c>
      <c r="I390" s="1" t="s">
        <v>13</v>
      </c>
      <c r="J390" s="1" t="s">
        <v>11</v>
      </c>
      <c r="K390" s="1" t="s">
        <v>7</v>
      </c>
      <c r="L390" s="1" t="s">
        <v>33</v>
      </c>
    </row>
    <row r="391" spans="1:12" x14ac:dyDescent="0.25">
      <c r="A391" s="5">
        <v>46047</v>
      </c>
      <c r="B391" s="4" t="s">
        <v>34</v>
      </c>
      <c r="C391" s="4">
        <v>1681</v>
      </c>
      <c r="D391" s="3">
        <v>16</v>
      </c>
      <c r="E391" s="3">
        <v>20</v>
      </c>
      <c r="F391" s="3">
        <v>42</v>
      </c>
      <c r="G391" s="2">
        <v>1265.01</v>
      </c>
      <c r="H391" s="1" t="s">
        <v>12</v>
      </c>
      <c r="I391" s="1" t="s">
        <v>13</v>
      </c>
      <c r="J391" s="1" t="s">
        <v>8</v>
      </c>
      <c r="K391" s="1" t="s">
        <v>1</v>
      </c>
      <c r="L391" s="1" t="s">
        <v>33</v>
      </c>
    </row>
    <row r="392" spans="1:12" x14ac:dyDescent="0.25">
      <c r="A392" s="5">
        <v>46048</v>
      </c>
      <c r="B392" s="4" t="s">
        <v>34</v>
      </c>
      <c r="C392" s="4">
        <v>2809</v>
      </c>
      <c r="D392" s="3">
        <v>22</v>
      </c>
      <c r="E392" s="3">
        <v>10</v>
      </c>
      <c r="F392" s="3">
        <v>253</v>
      </c>
      <c r="G392" s="2">
        <v>693.09</v>
      </c>
      <c r="H392" s="1" t="s">
        <v>12</v>
      </c>
      <c r="I392" s="1" t="s">
        <v>13</v>
      </c>
      <c r="J392" s="1" t="s">
        <v>18</v>
      </c>
      <c r="K392" s="1" t="s">
        <v>10</v>
      </c>
      <c r="L392" s="1" t="s">
        <v>33</v>
      </c>
    </row>
    <row r="393" spans="1:12" x14ac:dyDescent="0.25">
      <c r="A393" s="5">
        <v>46049</v>
      </c>
      <c r="B393" s="4" t="s">
        <v>34</v>
      </c>
      <c r="C393" s="4">
        <v>3365</v>
      </c>
      <c r="D393" s="3">
        <v>23</v>
      </c>
      <c r="E393" s="3">
        <v>36</v>
      </c>
      <c r="F393" s="3">
        <v>276</v>
      </c>
      <c r="G393" s="2">
        <v>2082.5700000000002</v>
      </c>
      <c r="H393" s="1" t="s">
        <v>4</v>
      </c>
      <c r="I393" s="1" t="s">
        <v>13</v>
      </c>
      <c r="J393" s="1" t="s">
        <v>18</v>
      </c>
      <c r="K393" s="1" t="s">
        <v>1</v>
      </c>
      <c r="L393" s="1" t="s">
        <v>33</v>
      </c>
    </row>
    <row r="394" spans="1:12" x14ac:dyDescent="0.25">
      <c r="A394" s="5">
        <v>46050</v>
      </c>
      <c r="B394" s="4" t="s">
        <v>34</v>
      </c>
      <c r="C394" s="4">
        <v>4645</v>
      </c>
      <c r="D394" s="3">
        <v>21</v>
      </c>
      <c r="E394" s="3">
        <v>53</v>
      </c>
      <c r="F394" s="3">
        <v>118</v>
      </c>
      <c r="G394" s="2">
        <v>267.43</v>
      </c>
      <c r="H394" s="1" t="s">
        <v>12</v>
      </c>
      <c r="I394" s="1" t="s">
        <v>13</v>
      </c>
      <c r="J394" s="1" t="s">
        <v>18</v>
      </c>
      <c r="K394" s="1" t="s">
        <v>7</v>
      </c>
      <c r="L394" s="1" t="s">
        <v>33</v>
      </c>
    </row>
    <row r="395" spans="1:12" x14ac:dyDescent="0.25">
      <c r="A395" s="5">
        <v>46051</v>
      </c>
      <c r="B395" s="4" t="s">
        <v>34</v>
      </c>
      <c r="C395" s="4">
        <v>1275</v>
      </c>
      <c r="D395" s="3">
        <v>17</v>
      </c>
      <c r="E395" s="3">
        <v>19</v>
      </c>
      <c r="F395" s="3">
        <v>34</v>
      </c>
      <c r="G395" s="2">
        <v>2416.9499999999998</v>
      </c>
      <c r="H395" s="1" t="s">
        <v>12</v>
      </c>
      <c r="I395" s="1" t="s">
        <v>3</v>
      </c>
      <c r="J395" s="1" t="s">
        <v>18</v>
      </c>
      <c r="K395" s="1" t="s">
        <v>10</v>
      </c>
      <c r="L395" s="1" t="s">
        <v>33</v>
      </c>
    </row>
    <row r="396" spans="1:12" x14ac:dyDescent="0.25">
      <c r="A396" s="5">
        <v>46052</v>
      </c>
      <c r="B396" s="4" t="s">
        <v>34</v>
      </c>
      <c r="C396" s="4">
        <v>3184</v>
      </c>
      <c r="D396" s="3">
        <v>20</v>
      </c>
      <c r="E396" s="3">
        <v>30</v>
      </c>
      <c r="F396" s="3">
        <v>263</v>
      </c>
      <c r="G396" s="2">
        <v>91.12</v>
      </c>
      <c r="H396" s="1" t="s">
        <v>14</v>
      </c>
      <c r="I396" s="1" t="s">
        <v>13</v>
      </c>
      <c r="J396" s="1" t="s">
        <v>18</v>
      </c>
      <c r="K396" s="1" t="s">
        <v>7</v>
      </c>
      <c r="L396" s="1" t="s">
        <v>33</v>
      </c>
    </row>
    <row r="397" spans="1:12" x14ac:dyDescent="0.25">
      <c r="A397" s="5">
        <v>46053</v>
      </c>
      <c r="B397" s="4" t="s">
        <v>34</v>
      </c>
      <c r="C397" s="4">
        <v>3066</v>
      </c>
      <c r="D397" s="3">
        <v>20</v>
      </c>
      <c r="E397" s="3">
        <v>22</v>
      </c>
      <c r="F397" s="3">
        <v>340</v>
      </c>
      <c r="G397" s="2">
        <v>1316.84</v>
      </c>
      <c r="H397" s="1" t="s">
        <v>12</v>
      </c>
      <c r="I397" s="1" t="s">
        <v>3</v>
      </c>
      <c r="J397" s="1" t="s">
        <v>2</v>
      </c>
      <c r="K397" s="1" t="s">
        <v>7</v>
      </c>
      <c r="L397" s="1" t="s">
        <v>33</v>
      </c>
    </row>
    <row r="398" spans="1:12" x14ac:dyDescent="0.25">
      <c r="A398" s="5">
        <v>46054</v>
      </c>
      <c r="B398" s="4" t="s">
        <v>32</v>
      </c>
      <c r="C398" s="4">
        <v>3674</v>
      </c>
      <c r="D398" s="3">
        <v>25</v>
      </c>
      <c r="E398" s="3">
        <v>42</v>
      </c>
      <c r="F398" s="3">
        <v>81</v>
      </c>
      <c r="G398" s="2">
        <v>1873.85</v>
      </c>
      <c r="H398" s="1" t="s">
        <v>12</v>
      </c>
      <c r="I398" s="1" t="s">
        <v>13</v>
      </c>
      <c r="J398" s="1" t="s">
        <v>18</v>
      </c>
      <c r="K398" s="1" t="s">
        <v>17</v>
      </c>
      <c r="L398" s="1" t="s">
        <v>33</v>
      </c>
    </row>
    <row r="399" spans="1:12" x14ac:dyDescent="0.25">
      <c r="A399" s="5">
        <v>46055</v>
      </c>
      <c r="B399" s="4" t="s">
        <v>32</v>
      </c>
      <c r="C399" s="4">
        <v>2133</v>
      </c>
      <c r="D399" s="3">
        <v>18</v>
      </c>
      <c r="E399" s="3">
        <v>12</v>
      </c>
      <c r="F399" s="3">
        <v>80</v>
      </c>
      <c r="G399" s="2">
        <v>880.99</v>
      </c>
      <c r="H399" s="1" t="s">
        <v>29</v>
      </c>
      <c r="I399" s="1" t="s">
        <v>13</v>
      </c>
      <c r="J399" s="1" t="s">
        <v>11</v>
      </c>
      <c r="K399" s="1" t="s">
        <v>7</v>
      </c>
      <c r="L399" s="1" t="s">
        <v>33</v>
      </c>
    </row>
    <row r="400" spans="1:12" x14ac:dyDescent="0.25">
      <c r="A400" s="5">
        <v>46056</v>
      </c>
      <c r="B400" s="4" t="s">
        <v>32</v>
      </c>
      <c r="C400" s="4">
        <v>1443</v>
      </c>
      <c r="D400" s="3">
        <v>13</v>
      </c>
      <c r="E400" s="3">
        <v>2</v>
      </c>
      <c r="F400" s="3">
        <v>282</v>
      </c>
      <c r="G400" s="2">
        <v>516.53</v>
      </c>
      <c r="H400" s="1" t="s">
        <v>4</v>
      </c>
      <c r="I400" s="1" t="s">
        <v>13</v>
      </c>
      <c r="J400" s="1" t="s">
        <v>2</v>
      </c>
      <c r="K400" s="1" t="s">
        <v>10</v>
      </c>
      <c r="L400" s="1" t="s">
        <v>33</v>
      </c>
    </row>
    <row r="401" spans="1:12" x14ac:dyDescent="0.25">
      <c r="A401" s="5">
        <v>46057</v>
      </c>
      <c r="B401" s="4" t="s">
        <v>32</v>
      </c>
      <c r="C401" s="4">
        <v>2752</v>
      </c>
      <c r="D401" s="3">
        <v>15</v>
      </c>
      <c r="E401" s="3">
        <v>30</v>
      </c>
      <c r="F401" s="3">
        <v>101</v>
      </c>
      <c r="G401" s="2">
        <v>1463.55</v>
      </c>
      <c r="H401" s="1" t="s">
        <v>25</v>
      </c>
      <c r="I401" s="1" t="s">
        <v>3</v>
      </c>
      <c r="J401" s="1" t="s">
        <v>18</v>
      </c>
      <c r="K401" s="1" t="s">
        <v>7</v>
      </c>
      <c r="L401" s="1" t="s">
        <v>33</v>
      </c>
    </row>
    <row r="402" spans="1:12" x14ac:dyDescent="0.25">
      <c r="A402" s="5">
        <v>46058</v>
      </c>
      <c r="B402" s="4" t="s">
        <v>32</v>
      </c>
      <c r="C402" s="4">
        <v>676</v>
      </c>
      <c r="D402" s="3">
        <v>12</v>
      </c>
      <c r="E402" s="3">
        <v>46</v>
      </c>
      <c r="F402" s="3">
        <v>144</v>
      </c>
      <c r="G402" s="2">
        <v>1120.6199999999999</v>
      </c>
      <c r="H402" s="1" t="s">
        <v>19</v>
      </c>
      <c r="I402" s="1" t="s">
        <v>3</v>
      </c>
      <c r="J402" s="1" t="s">
        <v>18</v>
      </c>
      <c r="K402" s="1" t="s">
        <v>10</v>
      </c>
      <c r="L402" s="1" t="s">
        <v>33</v>
      </c>
    </row>
    <row r="403" spans="1:12" x14ac:dyDescent="0.25">
      <c r="A403" s="5">
        <v>46059</v>
      </c>
      <c r="B403" s="4" t="s">
        <v>32</v>
      </c>
      <c r="C403" s="4">
        <v>2983</v>
      </c>
      <c r="D403" s="3">
        <v>25</v>
      </c>
      <c r="E403" s="3">
        <v>1</v>
      </c>
      <c r="F403" s="3">
        <v>312</v>
      </c>
      <c r="G403" s="2">
        <v>512.23</v>
      </c>
      <c r="H403" s="1" t="s">
        <v>4</v>
      </c>
      <c r="I403" s="1" t="s">
        <v>13</v>
      </c>
      <c r="J403" s="1" t="s">
        <v>11</v>
      </c>
      <c r="K403" s="1" t="s">
        <v>10</v>
      </c>
      <c r="L403" s="1" t="s">
        <v>33</v>
      </c>
    </row>
    <row r="404" spans="1:12" x14ac:dyDescent="0.25">
      <c r="A404" s="5">
        <v>46060</v>
      </c>
      <c r="B404" s="4" t="s">
        <v>32</v>
      </c>
      <c r="C404" s="4">
        <v>2672</v>
      </c>
      <c r="D404" s="3">
        <v>11</v>
      </c>
      <c r="E404" s="3">
        <v>18</v>
      </c>
      <c r="F404" s="3">
        <v>363</v>
      </c>
      <c r="G404" s="2">
        <v>78.67</v>
      </c>
      <c r="H404" s="1" t="s">
        <v>12</v>
      </c>
      <c r="I404" s="1" t="s">
        <v>3</v>
      </c>
      <c r="J404" s="1" t="s">
        <v>18</v>
      </c>
      <c r="K404" s="1" t="s">
        <v>10</v>
      </c>
      <c r="L404" s="1" t="s">
        <v>33</v>
      </c>
    </row>
    <row r="405" spans="1:12" x14ac:dyDescent="0.25">
      <c r="A405" s="5">
        <v>46061</v>
      </c>
      <c r="B405" s="4" t="s">
        <v>32</v>
      </c>
      <c r="C405" s="4">
        <v>5249</v>
      </c>
      <c r="D405" s="3">
        <v>7</v>
      </c>
      <c r="E405" s="3">
        <v>48</v>
      </c>
      <c r="F405" s="3">
        <v>173</v>
      </c>
      <c r="G405" s="2">
        <v>132</v>
      </c>
      <c r="H405" s="1" t="s">
        <v>12</v>
      </c>
      <c r="I405" s="1" t="s">
        <v>13</v>
      </c>
      <c r="J405" s="1" t="s">
        <v>18</v>
      </c>
      <c r="K405" s="1" t="s">
        <v>10</v>
      </c>
      <c r="L405" s="1" t="s">
        <v>33</v>
      </c>
    </row>
    <row r="406" spans="1:12" x14ac:dyDescent="0.25">
      <c r="A406" s="5">
        <v>46062</v>
      </c>
      <c r="B406" s="4" t="s">
        <v>32</v>
      </c>
      <c r="C406" s="4">
        <v>3383</v>
      </c>
      <c r="D406" s="3">
        <v>33</v>
      </c>
      <c r="E406" s="3">
        <v>28</v>
      </c>
      <c r="F406" s="3">
        <v>407</v>
      </c>
      <c r="G406" s="2">
        <v>2068.5100000000002</v>
      </c>
      <c r="H406" s="1" t="s">
        <v>12</v>
      </c>
      <c r="I406" s="1" t="s">
        <v>13</v>
      </c>
      <c r="J406" s="1" t="s">
        <v>18</v>
      </c>
      <c r="K406" s="1" t="s">
        <v>7</v>
      </c>
      <c r="L406" s="1" t="s">
        <v>33</v>
      </c>
    </row>
    <row r="407" spans="1:12" x14ac:dyDescent="0.25">
      <c r="A407" s="5">
        <v>46063</v>
      </c>
      <c r="B407" s="4" t="s">
        <v>32</v>
      </c>
      <c r="C407" s="4">
        <v>3577</v>
      </c>
      <c r="D407" s="3">
        <v>16</v>
      </c>
      <c r="E407" s="3">
        <v>44</v>
      </c>
      <c r="F407" s="3">
        <v>227</v>
      </c>
      <c r="G407" s="2">
        <v>1031.05</v>
      </c>
      <c r="H407" s="1" t="s">
        <v>14</v>
      </c>
      <c r="I407" s="1" t="s">
        <v>13</v>
      </c>
      <c r="J407" s="1" t="s">
        <v>18</v>
      </c>
      <c r="K407" s="1" t="s">
        <v>10</v>
      </c>
      <c r="L407" s="1" t="s">
        <v>16</v>
      </c>
    </row>
    <row r="408" spans="1:12" x14ac:dyDescent="0.25">
      <c r="A408" s="5">
        <v>46064</v>
      </c>
      <c r="B408" s="4" t="s">
        <v>32</v>
      </c>
      <c r="C408" s="4">
        <v>1983</v>
      </c>
      <c r="D408" s="3">
        <v>30</v>
      </c>
      <c r="E408" s="3">
        <v>14</v>
      </c>
      <c r="F408" s="3">
        <v>223</v>
      </c>
      <c r="G408" s="2">
        <v>967.1</v>
      </c>
      <c r="H408" s="1" t="s">
        <v>19</v>
      </c>
      <c r="I408" s="1" t="s">
        <v>13</v>
      </c>
      <c r="J408" s="1" t="s">
        <v>18</v>
      </c>
      <c r="K408" s="1" t="s">
        <v>10</v>
      </c>
      <c r="L408" s="1" t="s">
        <v>16</v>
      </c>
    </row>
    <row r="409" spans="1:12" x14ac:dyDescent="0.25">
      <c r="A409" s="5">
        <v>46065</v>
      </c>
      <c r="B409" s="4" t="s">
        <v>32</v>
      </c>
      <c r="C409" s="4">
        <v>3959</v>
      </c>
      <c r="D409" s="3">
        <v>24</v>
      </c>
      <c r="E409" s="3">
        <v>38</v>
      </c>
      <c r="F409" s="3">
        <v>431</v>
      </c>
      <c r="G409" s="2">
        <v>121.74</v>
      </c>
      <c r="H409" s="1" t="s">
        <v>14</v>
      </c>
      <c r="I409" s="1" t="s">
        <v>13</v>
      </c>
      <c r="J409" s="1" t="s">
        <v>18</v>
      </c>
      <c r="K409" s="1" t="s">
        <v>10</v>
      </c>
      <c r="L409" s="1" t="s">
        <v>16</v>
      </c>
    </row>
    <row r="410" spans="1:12" x14ac:dyDescent="0.25">
      <c r="A410" s="5">
        <v>46066</v>
      </c>
      <c r="B410" s="4" t="s">
        <v>32</v>
      </c>
      <c r="C410" s="4">
        <v>1757</v>
      </c>
      <c r="D410" s="3">
        <v>22</v>
      </c>
      <c r="E410" s="3">
        <v>31</v>
      </c>
      <c r="F410" s="3">
        <v>31</v>
      </c>
      <c r="G410" s="2">
        <v>331.33</v>
      </c>
      <c r="H410" s="1" t="s">
        <v>14</v>
      </c>
      <c r="I410" s="1" t="s">
        <v>13</v>
      </c>
      <c r="J410" s="1" t="s">
        <v>18</v>
      </c>
      <c r="K410" s="1" t="s">
        <v>10</v>
      </c>
      <c r="L410" s="1" t="s">
        <v>16</v>
      </c>
    </row>
    <row r="411" spans="1:12" x14ac:dyDescent="0.25">
      <c r="A411" s="5">
        <v>46067</v>
      </c>
      <c r="B411" s="4" t="s">
        <v>32</v>
      </c>
      <c r="C411" s="4">
        <v>4562</v>
      </c>
      <c r="D411" s="3">
        <v>34</v>
      </c>
      <c r="E411" s="3">
        <v>54</v>
      </c>
      <c r="F411" s="3">
        <v>279</v>
      </c>
      <c r="G411" s="2">
        <v>810.93</v>
      </c>
      <c r="H411" s="1" t="s">
        <v>12</v>
      </c>
      <c r="I411" s="1" t="s">
        <v>3</v>
      </c>
      <c r="J411" s="1" t="s">
        <v>18</v>
      </c>
      <c r="K411" s="1" t="s">
        <v>17</v>
      </c>
      <c r="L411" s="1" t="s">
        <v>16</v>
      </c>
    </row>
    <row r="412" spans="1:12" x14ac:dyDescent="0.25">
      <c r="A412" s="5">
        <v>46068</v>
      </c>
      <c r="B412" s="4" t="s">
        <v>32</v>
      </c>
      <c r="C412" s="4">
        <v>4709</v>
      </c>
      <c r="D412" s="3">
        <v>22</v>
      </c>
      <c r="E412" s="3">
        <v>41</v>
      </c>
      <c r="F412" s="3">
        <v>88</v>
      </c>
      <c r="G412" s="2">
        <v>952.18</v>
      </c>
      <c r="H412" s="1" t="s">
        <v>12</v>
      </c>
      <c r="I412" s="1" t="s">
        <v>13</v>
      </c>
      <c r="J412" s="1" t="s">
        <v>18</v>
      </c>
      <c r="K412" s="1" t="s">
        <v>10</v>
      </c>
      <c r="L412" s="1" t="s">
        <v>16</v>
      </c>
    </row>
    <row r="413" spans="1:12" x14ac:dyDescent="0.25">
      <c r="A413" s="5">
        <v>46069</v>
      </c>
      <c r="B413" s="4" t="s">
        <v>32</v>
      </c>
      <c r="C413" s="4">
        <v>2328</v>
      </c>
      <c r="D413" s="3">
        <v>16</v>
      </c>
      <c r="E413" s="3">
        <v>14</v>
      </c>
      <c r="F413" s="3">
        <v>241</v>
      </c>
      <c r="G413" s="2">
        <v>1570.59</v>
      </c>
      <c r="H413" s="1" t="s">
        <v>14</v>
      </c>
      <c r="I413" s="1" t="s">
        <v>13</v>
      </c>
      <c r="J413" s="1" t="s">
        <v>11</v>
      </c>
      <c r="K413" s="1" t="s">
        <v>17</v>
      </c>
      <c r="L413" s="1" t="s">
        <v>16</v>
      </c>
    </row>
    <row r="414" spans="1:12" x14ac:dyDescent="0.25">
      <c r="A414" s="5">
        <v>46070</v>
      </c>
      <c r="B414" s="4" t="s">
        <v>32</v>
      </c>
      <c r="C414" s="4">
        <v>1788</v>
      </c>
      <c r="D414" s="3">
        <v>18</v>
      </c>
      <c r="E414" s="3">
        <v>13</v>
      </c>
      <c r="F414" s="3">
        <v>379</v>
      </c>
      <c r="G414" s="2">
        <v>261.06</v>
      </c>
      <c r="H414" s="1" t="s">
        <v>14</v>
      </c>
      <c r="I414" s="1" t="s">
        <v>3</v>
      </c>
      <c r="J414" s="1" t="s">
        <v>18</v>
      </c>
      <c r="K414" s="1" t="s">
        <v>7</v>
      </c>
      <c r="L414" s="1" t="s">
        <v>16</v>
      </c>
    </row>
    <row r="415" spans="1:12" x14ac:dyDescent="0.25">
      <c r="A415" s="5">
        <v>46071</v>
      </c>
      <c r="B415" s="4" t="s">
        <v>32</v>
      </c>
      <c r="C415" s="4">
        <v>2990</v>
      </c>
      <c r="D415" s="3">
        <v>10</v>
      </c>
      <c r="E415" s="3">
        <v>10</v>
      </c>
      <c r="F415" s="3">
        <v>214</v>
      </c>
      <c r="G415" s="2">
        <v>1496.09</v>
      </c>
      <c r="H415" s="1" t="s">
        <v>14</v>
      </c>
      <c r="I415" s="1" t="s">
        <v>13</v>
      </c>
      <c r="J415" s="1" t="s">
        <v>11</v>
      </c>
      <c r="K415" s="1" t="s">
        <v>1</v>
      </c>
      <c r="L415" s="1" t="s">
        <v>16</v>
      </c>
    </row>
    <row r="416" spans="1:12" x14ac:dyDescent="0.25">
      <c r="A416" s="5">
        <v>46072</v>
      </c>
      <c r="B416" s="4" t="s">
        <v>32</v>
      </c>
      <c r="C416" s="4">
        <v>2593</v>
      </c>
      <c r="D416" s="3">
        <v>25</v>
      </c>
      <c r="E416" s="3">
        <v>16</v>
      </c>
      <c r="F416" s="3">
        <v>290</v>
      </c>
      <c r="G416" s="2">
        <v>244.13</v>
      </c>
      <c r="H416" s="1" t="s">
        <v>14</v>
      </c>
      <c r="I416" s="1" t="s">
        <v>13</v>
      </c>
      <c r="J416" s="1" t="s">
        <v>18</v>
      </c>
      <c r="K416" s="1" t="s">
        <v>7</v>
      </c>
      <c r="L416" s="1" t="s">
        <v>16</v>
      </c>
    </row>
    <row r="417" spans="1:12" x14ac:dyDescent="0.25">
      <c r="A417" s="5">
        <v>46073</v>
      </c>
      <c r="B417" s="4" t="s">
        <v>32</v>
      </c>
      <c r="C417" s="4">
        <v>2565</v>
      </c>
      <c r="D417" s="3">
        <v>27</v>
      </c>
      <c r="E417" s="3">
        <v>21</v>
      </c>
      <c r="F417" s="3">
        <v>444</v>
      </c>
      <c r="G417" s="2">
        <v>1076.1099999999999</v>
      </c>
      <c r="H417" s="1" t="s">
        <v>29</v>
      </c>
      <c r="I417" s="1" t="s">
        <v>13</v>
      </c>
      <c r="J417" s="1" t="s">
        <v>11</v>
      </c>
      <c r="K417" s="1" t="s">
        <v>1</v>
      </c>
      <c r="L417" s="1" t="s">
        <v>16</v>
      </c>
    </row>
    <row r="418" spans="1:12" x14ac:dyDescent="0.25">
      <c r="A418" s="5">
        <v>46074</v>
      </c>
      <c r="B418" s="4" t="s">
        <v>32</v>
      </c>
      <c r="C418" s="4">
        <v>3585</v>
      </c>
      <c r="D418" s="3">
        <v>28</v>
      </c>
      <c r="E418" s="3">
        <v>47</v>
      </c>
      <c r="F418" s="3">
        <v>201</v>
      </c>
      <c r="G418" s="2">
        <v>1966.4</v>
      </c>
      <c r="H418" s="1" t="s">
        <v>12</v>
      </c>
      <c r="I418" s="1" t="s">
        <v>13</v>
      </c>
      <c r="J418" s="1" t="s">
        <v>18</v>
      </c>
      <c r="K418" s="1" t="s">
        <v>10</v>
      </c>
      <c r="L418" s="1" t="s">
        <v>16</v>
      </c>
    </row>
    <row r="419" spans="1:12" x14ac:dyDescent="0.25">
      <c r="A419" s="5">
        <v>46075</v>
      </c>
      <c r="B419" s="4" t="s">
        <v>32</v>
      </c>
      <c r="C419" s="4">
        <v>2039</v>
      </c>
      <c r="D419" s="3">
        <v>27</v>
      </c>
      <c r="E419" s="3">
        <v>11</v>
      </c>
      <c r="F419" s="3">
        <v>206</v>
      </c>
      <c r="G419" s="2">
        <v>399.04</v>
      </c>
      <c r="H419" s="1" t="s">
        <v>14</v>
      </c>
      <c r="I419" s="1" t="s">
        <v>13</v>
      </c>
      <c r="J419" s="1" t="s">
        <v>8</v>
      </c>
      <c r="K419" s="1" t="s">
        <v>7</v>
      </c>
      <c r="L419" s="1" t="s">
        <v>16</v>
      </c>
    </row>
    <row r="420" spans="1:12" x14ac:dyDescent="0.25">
      <c r="A420" s="5">
        <v>46076</v>
      </c>
      <c r="B420" s="4" t="s">
        <v>32</v>
      </c>
      <c r="C420" s="4">
        <v>2975</v>
      </c>
      <c r="D420" s="3">
        <v>29</v>
      </c>
      <c r="E420" s="3">
        <v>46</v>
      </c>
      <c r="F420" s="3">
        <v>115</v>
      </c>
      <c r="G420" s="2">
        <v>344.1</v>
      </c>
      <c r="H420" s="1" t="s">
        <v>19</v>
      </c>
      <c r="I420" s="1" t="s">
        <v>13</v>
      </c>
      <c r="J420" s="1" t="s">
        <v>2</v>
      </c>
      <c r="K420" s="1" t="s">
        <v>10</v>
      </c>
      <c r="L420" s="1" t="s">
        <v>16</v>
      </c>
    </row>
    <row r="421" spans="1:12" x14ac:dyDescent="0.25">
      <c r="A421" s="5">
        <v>46077</v>
      </c>
      <c r="B421" s="4" t="s">
        <v>32</v>
      </c>
      <c r="C421" s="4">
        <v>3199</v>
      </c>
      <c r="D421" s="3">
        <v>10</v>
      </c>
      <c r="E421" s="3">
        <v>48</v>
      </c>
      <c r="F421" s="3">
        <v>115</v>
      </c>
      <c r="G421" s="2">
        <v>2337.7199999999998</v>
      </c>
      <c r="H421" s="1" t="s">
        <v>12</v>
      </c>
      <c r="I421" s="1" t="s">
        <v>13</v>
      </c>
      <c r="J421" s="1" t="s">
        <v>11</v>
      </c>
      <c r="K421" s="1" t="s">
        <v>10</v>
      </c>
      <c r="L421" s="1" t="s">
        <v>16</v>
      </c>
    </row>
    <row r="422" spans="1:12" x14ac:dyDescent="0.25">
      <c r="A422" s="5">
        <v>46078</v>
      </c>
      <c r="B422" s="4" t="s">
        <v>32</v>
      </c>
      <c r="C422" s="4">
        <v>2439</v>
      </c>
      <c r="D422" s="3">
        <v>20</v>
      </c>
      <c r="E422" s="3">
        <v>23</v>
      </c>
      <c r="F422" s="3">
        <v>192</v>
      </c>
      <c r="G422" s="2">
        <v>566.28</v>
      </c>
      <c r="H422" s="1" t="s">
        <v>19</v>
      </c>
      <c r="I422" s="1" t="s">
        <v>13</v>
      </c>
      <c r="J422" s="1" t="s">
        <v>11</v>
      </c>
      <c r="K422" s="1" t="s">
        <v>1</v>
      </c>
      <c r="L422" s="1" t="s">
        <v>16</v>
      </c>
    </row>
    <row r="423" spans="1:12" x14ac:dyDescent="0.25">
      <c r="A423" s="5">
        <v>46079</v>
      </c>
      <c r="B423" s="4" t="s">
        <v>32</v>
      </c>
      <c r="C423" s="4">
        <v>4263</v>
      </c>
      <c r="D423" s="3">
        <v>11</v>
      </c>
      <c r="E423" s="3">
        <v>29</v>
      </c>
      <c r="F423" s="3">
        <v>373</v>
      </c>
      <c r="G423" s="2">
        <v>806.04</v>
      </c>
      <c r="H423" s="1" t="s">
        <v>14</v>
      </c>
      <c r="I423" s="1" t="s">
        <v>13</v>
      </c>
      <c r="J423" s="1" t="s">
        <v>18</v>
      </c>
      <c r="K423" s="1" t="s">
        <v>17</v>
      </c>
      <c r="L423" s="1" t="s">
        <v>16</v>
      </c>
    </row>
    <row r="424" spans="1:12" x14ac:dyDescent="0.25">
      <c r="A424" s="5">
        <v>46080</v>
      </c>
      <c r="B424" s="4" t="s">
        <v>32</v>
      </c>
      <c r="C424" s="4">
        <v>4323</v>
      </c>
      <c r="D424" s="3">
        <v>19</v>
      </c>
      <c r="E424" s="3">
        <v>39</v>
      </c>
      <c r="F424" s="3">
        <v>143</v>
      </c>
      <c r="G424" s="2">
        <v>1789.77</v>
      </c>
      <c r="H424" s="1" t="s">
        <v>4</v>
      </c>
      <c r="I424" s="1" t="s">
        <v>3</v>
      </c>
      <c r="J424" s="1" t="s">
        <v>2</v>
      </c>
      <c r="K424" s="1" t="s">
        <v>17</v>
      </c>
      <c r="L424" s="1" t="s">
        <v>16</v>
      </c>
    </row>
    <row r="425" spans="1:12" x14ac:dyDescent="0.25">
      <c r="A425" s="5">
        <v>46081</v>
      </c>
      <c r="B425" s="4" t="s">
        <v>32</v>
      </c>
      <c r="C425" s="4">
        <v>4110</v>
      </c>
      <c r="D425" s="3">
        <v>36</v>
      </c>
      <c r="E425" s="3">
        <v>44</v>
      </c>
      <c r="F425" s="3">
        <v>304</v>
      </c>
      <c r="G425" s="2">
        <v>2255.0700000000002</v>
      </c>
      <c r="H425" s="1" t="s">
        <v>4</v>
      </c>
      <c r="I425" s="1" t="s">
        <v>13</v>
      </c>
      <c r="J425" s="1" t="s">
        <v>18</v>
      </c>
      <c r="K425" s="1" t="s">
        <v>17</v>
      </c>
      <c r="L425" s="1" t="s">
        <v>16</v>
      </c>
    </row>
    <row r="426" spans="1:12" x14ac:dyDescent="0.25">
      <c r="A426" s="5">
        <v>46082</v>
      </c>
      <c r="B426" s="4" t="s">
        <v>31</v>
      </c>
      <c r="C426" s="4">
        <v>3075</v>
      </c>
      <c r="D426" s="3">
        <v>21</v>
      </c>
      <c r="E426" s="3">
        <v>10</v>
      </c>
      <c r="F426" s="3">
        <v>417</v>
      </c>
      <c r="G426" s="2">
        <v>2375.0100000000002</v>
      </c>
      <c r="H426" s="1" t="s">
        <v>14</v>
      </c>
      <c r="I426" s="1" t="s">
        <v>3</v>
      </c>
      <c r="J426" s="1" t="s">
        <v>2</v>
      </c>
      <c r="K426" s="1" t="s">
        <v>15</v>
      </c>
      <c r="L426" s="1" t="s">
        <v>16</v>
      </c>
    </row>
    <row r="427" spans="1:12" x14ac:dyDescent="0.25">
      <c r="A427" s="5">
        <v>46083</v>
      </c>
      <c r="B427" s="4" t="s">
        <v>31</v>
      </c>
      <c r="C427" s="4">
        <v>3579</v>
      </c>
      <c r="D427" s="3">
        <v>15</v>
      </c>
      <c r="E427" s="3">
        <v>44</v>
      </c>
      <c r="F427" s="3">
        <v>152</v>
      </c>
      <c r="G427" s="2">
        <v>988.16</v>
      </c>
      <c r="H427" s="1" t="s">
        <v>14</v>
      </c>
      <c r="I427" s="1" t="s">
        <v>13</v>
      </c>
      <c r="J427" s="1" t="s">
        <v>2</v>
      </c>
      <c r="K427" s="1" t="s">
        <v>10</v>
      </c>
      <c r="L427" s="1" t="s">
        <v>20</v>
      </c>
    </row>
    <row r="428" spans="1:12" x14ac:dyDescent="0.25">
      <c r="A428" s="5">
        <v>46084</v>
      </c>
      <c r="B428" s="4" t="s">
        <v>31</v>
      </c>
      <c r="C428" s="4">
        <v>3044</v>
      </c>
      <c r="D428" s="3">
        <v>11</v>
      </c>
      <c r="E428" s="3">
        <v>44</v>
      </c>
      <c r="F428" s="3">
        <v>117</v>
      </c>
      <c r="G428" s="2">
        <v>2083.67</v>
      </c>
      <c r="H428" s="1" t="s">
        <v>4</v>
      </c>
      <c r="I428" s="1" t="s">
        <v>13</v>
      </c>
      <c r="J428" s="1" t="s">
        <v>18</v>
      </c>
      <c r="K428" s="1" t="s">
        <v>21</v>
      </c>
      <c r="L428" s="1" t="s">
        <v>20</v>
      </c>
    </row>
    <row r="429" spans="1:12" x14ac:dyDescent="0.25">
      <c r="A429" s="5">
        <v>46085</v>
      </c>
      <c r="B429" s="4" t="s">
        <v>31</v>
      </c>
      <c r="C429" s="4">
        <v>3210</v>
      </c>
      <c r="D429" s="3">
        <v>17</v>
      </c>
      <c r="E429" s="3">
        <v>36</v>
      </c>
      <c r="F429" s="3">
        <v>92</v>
      </c>
      <c r="G429" s="2">
        <v>1420.84</v>
      </c>
      <c r="H429" s="1" t="s">
        <v>12</v>
      </c>
      <c r="I429" s="1" t="s">
        <v>13</v>
      </c>
      <c r="J429" s="1" t="s">
        <v>18</v>
      </c>
      <c r="K429" s="1" t="s">
        <v>15</v>
      </c>
      <c r="L429" s="1" t="s">
        <v>20</v>
      </c>
    </row>
    <row r="430" spans="1:12" x14ac:dyDescent="0.25">
      <c r="A430" s="5">
        <v>46086</v>
      </c>
      <c r="B430" s="4" t="s">
        <v>31</v>
      </c>
      <c r="C430" s="4">
        <v>844</v>
      </c>
      <c r="D430" s="3">
        <v>32</v>
      </c>
      <c r="E430" s="3">
        <v>2</v>
      </c>
      <c r="F430" s="3">
        <v>30</v>
      </c>
      <c r="G430" s="2">
        <v>1183.33</v>
      </c>
      <c r="H430" s="1" t="s">
        <v>14</v>
      </c>
      <c r="I430" s="1" t="s">
        <v>3</v>
      </c>
      <c r="J430" s="1" t="s">
        <v>11</v>
      </c>
      <c r="K430" s="1" t="s">
        <v>7</v>
      </c>
      <c r="L430" s="1" t="s">
        <v>20</v>
      </c>
    </row>
    <row r="431" spans="1:12" x14ac:dyDescent="0.25">
      <c r="A431" s="5">
        <v>46087</v>
      </c>
      <c r="B431" s="4" t="s">
        <v>31</v>
      </c>
      <c r="C431" s="4">
        <v>3347</v>
      </c>
      <c r="D431" s="3">
        <v>26</v>
      </c>
      <c r="E431" s="3">
        <v>31</v>
      </c>
      <c r="F431" s="3">
        <v>257</v>
      </c>
      <c r="G431" s="2">
        <v>1335.75</v>
      </c>
      <c r="H431" s="1" t="s">
        <v>14</v>
      </c>
      <c r="I431" s="1" t="s">
        <v>3</v>
      </c>
      <c r="J431" s="1" t="s">
        <v>18</v>
      </c>
      <c r="K431" s="1" t="s">
        <v>10</v>
      </c>
      <c r="L431" s="1" t="s">
        <v>20</v>
      </c>
    </row>
    <row r="432" spans="1:12" x14ac:dyDescent="0.25">
      <c r="A432" s="5">
        <v>46088</v>
      </c>
      <c r="B432" s="4" t="s">
        <v>31</v>
      </c>
      <c r="C432" s="4">
        <v>4667</v>
      </c>
      <c r="D432" s="3">
        <v>45</v>
      </c>
      <c r="E432" s="3">
        <v>28</v>
      </c>
      <c r="F432" s="3">
        <v>331</v>
      </c>
      <c r="G432" s="2">
        <v>727.75</v>
      </c>
      <c r="H432" s="1" t="s">
        <v>14</v>
      </c>
      <c r="I432" s="1" t="s">
        <v>13</v>
      </c>
      <c r="J432" s="1" t="s">
        <v>18</v>
      </c>
      <c r="K432" s="1" t="s">
        <v>10</v>
      </c>
      <c r="L432" s="1" t="s">
        <v>20</v>
      </c>
    </row>
    <row r="433" spans="1:12" x14ac:dyDescent="0.25">
      <c r="A433" s="5">
        <v>46089</v>
      </c>
      <c r="B433" s="4" t="s">
        <v>31</v>
      </c>
      <c r="C433" s="4">
        <v>2356</v>
      </c>
      <c r="D433" s="3">
        <v>34</v>
      </c>
      <c r="E433" s="3">
        <v>42</v>
      </c>
      <c r="F433" s="3">
        <v>172</v>
      </c>
      <c r="G433" s="2">
        <v>1167.8</v>
      </c>
      <c r="H433" s="1" t="s">
        <v>4</v>
      </c>
      <c r="I433" s="1" t="s">
        <v>13</v>
      </c>
      <c r="J433" s="1" t="s">
        <v>18</v>
      </c>
      <c r="K433" s="1" t="s">
        <v>7</v>
      </c>
      <c r="L433" s="1" t="s">
        <v>20</v>
      </c>
    </row>
    <row r="434" spans="1:12" x14ac:dyDescent="0.25">
      <c r="A434" s="5">
        <v>46090</v>
      </c>
      <c r="B434" s="4" t="s">
        <v>31</v>
      </c>
      <c r="C434" s="4">
        <v>4901</v>
      </c>
      <c r="D434" s="3">
        <v>27</v>
      </c>
      <c r="E434" s="3">
        <v>38</v>
      </c>
      <c r="F434" s="3">
        <v>62</v>
      </c>
      <c r="G434" s="2">
        <v>22.34</v>
      </c>
      <c r="H434" s="1" t="s">
        <v>12</v>
      </c>
      <c r="I434" s="1" t="s">
        <v>3</v>
      </c>
      <c r="J434" s="1" t="s">
        <v>18</v>
      </c>
      <c r="K434" s="1" t="s">
        <v>21</v>
      </c>
      <c r="L434" s="1" t="s">
        <v>20</v>
      </c>
    </row>
    <row r="435" spans="1:12" x14ac:dyDescent="0.25">
      <c r="A435" s="5">
        <v>46091</v>
      </c>
      <c r="B435" s="4" t="s">
        <v>31</v>
      </c>
      <c r="C435" s="4">
        <v>4181</v>
      </c>
      <c r="D435" s="3">
        <v>22</v>
      </c>
      <c r="E435" s="3">
        <v>38</v>
      </c>
      <c r="F435" s="3">
        <v>278</v>
      </c>
      <c r="G435" s="2">
        <v>1319.95</v>
      </c>
      <c r="H435" s="1" t="s">
        <v>4</v>
      </c>
      <c r="I435" s="1" t="s">
        <v>3</v>
      </c>
      <c r="J435" s="1" t="s">
        <v>11</v>
      </c>
      <c r="K435" s="1" t="s">
        <v>17</v>
      </c>
      <c r="L435" s="1" t="s">
        <v>20</v>
      </c>
    </row>
    <row r="436" spans="1:12" x14ac:dyDescent="0.25">
      <c r="A436" s="5">
        <v>46092</v>
      </c>
      <c r="B436" s="4" t="s">
        <v>31</v>
      </c>
      <c r="C436" s="4">
        <v>3024</v>
      </c>
      <c r="D436" s="3">
        <v>21</v>
      </c>
      <c r="E436" s="3">
        <v>40</v>
      </c>
      <c r="F436" s="3">
        <v>335</v>
      </c>
      <c r="G436" s="2">
        <v>205.24</v>
      </c>
      <c r="H436" s="1" t="s">
        <v>4</v>
      </c>
      <c r="I436" s="1" t="s">
        <v>3</v>
      </c>
      <c r="J436" s="1" t="s">
        <v>11</v>
      </c>
      <c r="K436" s="1" t="s">
        <v>7</v>
      </c>
      <c r="L436" s="1" t="s">
        <v>20</v>
      </c>
    </row>
    <row r="437" spans="1:12" x14ac:dyDescent="0.25">
      <c r="A437" s="5">
        <v>46093</v>
      </c>
      <c r="B437" s="4" t="s">
        <v>31</v>
      </c>
      <c r="C437" s="4">
        <v>3717</v>
      </c>
      <c r="D437" s="3">
        <v>23</v>
      </c>
      <c r="E437" s="3">
        <v>24</v>
      </c>
      <c r="F437" s="3">
        <v>48</v>
      </c>
      <c r="G437" s="2">
        <v>2047.57</v>
      </c>
      <c r="H437" s="1" t="s">
        <v>25</v>
      </c>
      <c r="I437" s="1" t="s">
        <v>3</v>
      </c>
      <c r="J437" s="1" t="s">
        <v>11</v>
      </c>
      <c r="K437" s="1" t="s">
        <v>10</v>
      </c>
      <c r="L437" s="1" t="s">
        <v>20</v>
      </c>
    </row>
    <row r="438" spans="1:12" x14ac:dyDescent="0.25">
      <c r="A438" s="5">
        <v>46094</v>
      </c>
      <c r="B438" s="4" t="s">
        <v>31</v>
      </c>
      <c r="C438" s="4">
        <v>2524</v>
      </c>
      <c r="D438" s="3">
        <v>19</v>
      </c>
      <c r="E438" s="3">
        <v>30</v>
      </c>
      <c r="F438" s="3">
        <v>31</v>
      </c>
      <c r="G438" s="2">
        <v>1923.8</v>
      </c>
      <c r="H438" s="1" t="s">
        <v>4</v>
      </c>
      <c r="I438" s="1" t="s">
        <v>13</v>
      </c>
      <c r="J438" s="1" t="s">
        <v>18</v>
      </c>
      <c r="K438" s="1" t="s">
        <v>10</v>
      </c>
      <c r="L438" s="1" t="s">
        <v>20</v>
      </c>
    </row>
    <row r="439" spans="1:12" x14ac:dyDescent="0.25">
      <c r="A439" s="5">
        <v>46095</v>
      </c>
      <c r="B439" s="4" t="s">
        <v>31</v>
      </c>
      <c r="C439" s="4">
        <v>5035</v>
      </c>
      <c r="D439" s="3">
        <v>9</v>
      </c>
      <c r="E439" s="3">
        <v>43</v>
      </c>
      <c r="F439" s="3">
        <v>102</v>
      </c>
      <c r="G439" s="2">
        <v>1397.3</v>
      </c>
      <c r="H439" s="1" t="s">
        <v>12</v>
      </c>
      <c r="I439" s="1" t="s">
        <v>13</v>
      </c>
      <c r="J439" s="1" t="s">
        <v>2</v>
      </c>
      <c r="K439" s="1" t="s">
        <v>21</v>
      </c>
      <c r="L439" s="1" t="s">
        <v>20</v>
      </c>
    </row>
    <row r="440" spans="1:12" x14ac:dyDescent="0.25">
      <c r="A440" s="5">
        <v>46096</v>
      </c>
      <c r="B440" s="4" t="s">
        <v>31</v>
      </c>
      <c r="C440" s="4">
        <v>3328</v>
      </c>
      <c r="D440" s="3">
        <v>17</v>
      </c>
      <c r="E440" s="3">
        <v>31</v>
      </c>
      <c r="F440" s="3">
        <v>125</v>
      </c>
      <c r="G440" s="2">
        <v>2181.14</v>
      </c>
      <c r="H440" s="1" t="s">
        <v>29</v>
      </c>
      <c r="I440" s="1" t="s">
        <v>13</v>
      </c>
      <c r="J440" s="1" t="s">
        <v>18</v>
      </c>
      <c r="K440" s="1" t="s">
        <v>17</v>
      </c>
      <c r="L440" s="1" t="s">
        <v>20</v>
      </c>
    </row>
    <row r="441" spans="1:12" x14ac:dyDescent="0.25">
      <c r="A441" s="5">
        <v>46097</v>
      </c>
      <c r="B441" s="4" t="s">
        <v>31</v>
      </c>
      <c r="C441" s="4">
        <v>3286</v>
      </c>
      <c r="D441" s="3">
        <v>16</v>
      </c>
      <c r="E441" s="3">
        <v>29</v>
      </c>
      <c r="F441" s="3">
        <v>62</v>
      </c>
      <c r="G441" s="2">
        <v>2345.81</v>
      </c>
      <c r="H441" s="1" t="s">
        <v>4</v>
      </c>
      <c r="I441" s="1" t="s">
        <v>13</v>
      </c>
      <c r="J441" s="1" t="s">
        <v>18</v>
      </c>
      <c r="K441" s="1" t="s">
        <v>7</v>
      </c>
      <c r="L441" s="1" t="s">
        <v>20</v>
      </c>
    </row>
    <row r="442" spans="1:12" x14ac:dyDescent="0.25">
      <c r="A442" s="5">
        <v>46098</v>
      </c>
      <c r="B442" s="4" t="s">
        <v>31</v>
      </c>
      <c r="C442" s="4">
        <v>3581</v>
      </c>
      <c r="D442" s="3">
        <v>28</v>
      </c>
      <c r="E442" s="3">
        <v>13</v>
      </c>
      <c r="F442" s="3">
        <v>390</v>
      </c>
      <c r="G442" s="2">
        <v>1052.05</v>
      </c>
      <c r="H442" s="1" t="s">
        <v>12</v>
      </c>
      <c r="I442" s="1" t="s">
        <v>13</v>
      </c>
      <c r="J442" s="1" t="s">
        <v>18</v>
      </c>
      <c r="K442" s="1" t="s">
        <v>10</v>
      </c>
      <c r="L442" s="1" t="s">
        <v>20</v>
      </c>
    </row>
    <row r="443" spans="1:12" x14ac:dyDescent="0.25">
      <c r="A443" s="5">
        <v>46099</v>
      </c>
      <c r="B443" s="4" t="s">
        <v>31</v>
      </c>
      <c r="C443" s="4">
        <v>2672</v>
      </c>
      <c r="D443" s="3">
        <v>29</v>
      </c>
      <c r="E443" s="3">
        <v>43</v>
      </c>
      <c r="F443" s="3">
        <v>104</v>
      </c>
      <c r="G443" s="2">
        <v>567.74</v>
      </c>
      <c r="H443" s="1" t="s">
        <v>14</v>
      </c>
      <c r="I443" s="1" t="s">
        <v>13</v>
      </c>
      <c r="J443" s="1" t="s">
        <v>11</v>
      </c>
      <c r="K443" s="1" t="s">
        <v>10</v>
      </c>
      <c r="L443" s="1" t="s">
        <v>20</v>
      </c>
    </row>
    <row r="444" spans="1:12" x14ac:dyDescent="0.25">
      <c r="A444" s="5">
        <v>46100</v>
      </c>
      <c r="B444" s="4" t="s">
        <v>31</v>
      </c>
      <c r="C444" s="4">
        <v>1788</v>
      </c>
      <c r="D444" s="3">
        <v>31</v>
      </c>
      <c r="E444" s="3">
        <v>7</v>
      </c>
      <c r="F444" s="3">
        <v>91</v>
      </c>
      <c r="G444" s="2">
        <v>772.68</v>
      </c>
      <c r="H444" s="1" t="s">
        <v>14</v>
      </c>
      <c r="I444" s="1" t="s">
        <v>13</v>
      </c>
      <c r="J444" s="1" t="s">
        <v>18</v>
      </c>
      <c r="K444" s="1" t="s">
        <v>21</v>
      </c>
      <c r="L444" s="1" t="s">
        <v>20</v>
      </c>
    </row>
    <row r="445" spans="1:12" x14ac:dyDescent="0.25">
      <c r="A445" s="5">
        <v>46101</v>
      </c>
      <c r="B445" s="4" t="s">
        <v>31</v>
      </c>
      <c r="C445" s="4">
        <v>3276</v>
      </c>
      <c r="D445" s="3">
        <v>26</v>
      </c>
      <c r="E445" s="3">
        <v>41</v>
      </c>
      <c r="F445" s="3">
        <v>94</v>
      </c>
      <c r="G445" s="2">
        <v>1311.37</v>
      </c>
      <c r="H445" s="1" t="s">
        <v>14</v>
      </c>
      <c r="I445" s="1" t="s">
        <v>3</v>
      </c>
      <c r="J445" s="1" t="s">
        <v>11</v>
      </c>
      <c r="K445" s="1" t="s">
        <v>17</v>
      </c>
      <c r="L445" s="1" t="s">
        <v>30</v>
      </c>
    </row>
    <row r="446" spans="1:12" x14ac:dyDescent="0.25">
      <c r="A446" s="5">
        <v>46102</v>
      </c>
      <c r="B446" s="4" t="s">
        <v>31</v>
      </c>
      <c r="C446" s="4">
        <v>3166</v>
      </c>
      <c r="D446" s="3">
        <v>7</v>
      </c>
      <c r="E446" s="3">
        <v>29</v>
      </c>
      <c r="F446" s="3">
        <v>240</v>
      </c>
      <c r="G446" s="2">
        <v>1014.28</v>
      </c>
      <c r="H446" s="1" t="s">
        <v>25</v>
      </c>
      <c r="I446" s="1" t="s">
        <v>3</v>
      </c>
      <c r="J446" s="1" t="s">
        <v>11</v>
      </c>
      <c r="K446" s="1" t="s">
        <v>17</v>
      </c>
      <c r="L446" s="1" t="s">
        <v>30</v>
      </c>
    </row>
    <row r="447" spans="1:12" x14ac:dyDescent="0.25">
      <c r="A447" s="5">
        <v>46103</v>
      </c>
      <c r="B447" s="4" t="s">
        <v>31</v>
      </c>
      <c r="C447" s="4">
        <v>3498</v>
      </c>
      <c r="D447" s="3">
        <v>24</v>
      </c>
      <c r="E447" s="3">
        <v>36</v>
      </c>
      <c r="F447" s="3">
        <v>267</v>
      </c>
      <c r="G447" s="2">
        <v>805.38</v>
      </c>
      <c r="H447" s="1" t="s">
        <v>12</v>
      </c>
      <c r="I447" s="1" t="s">
        <v>13</v>
      </c>
      <c r="J447" s="1" t="s">
        <v>18</v>
      </c>
      <c r="K447" s="1" t="s">
        <v>7</v>
      </c>
      <c r="L447" s="1" t="s">
        <v>30</v>
      </c>
    </row>
    <row r="448" spans="1:12" x14ac:dyDescent="0.25">
      <c r="A448" s="5">
        <v>46104</v>
      </c>
      <c r="B448" s="4" t="s">
        <v>31</v>
      </c>
      <c r="C448" s="4">
        <v>3899</v>
      </c>
      <c r="D448" s="3">
        <v>7</v>
      </c>
      <c r="E448" s="3">
        <v>25</v>
      </c>
      <c r="F448" s="3">
        <v>93</v>
      </c>
      <c r="G448" s="2">
        <v>2208.7800000000002</v>
      </c>
      <c r="H448" s="1" t="s">
        <v>14</v>
      </c>
      <c r="I448" s="1" t="s">
        <v>13</v>
      </c>
      <c r="J448" s="1" t="s">
        <v>18</v>
      </c>
      <c r="K448" s="1" t="s">
        <v>17</v>
      </c>
      <c r="L448" s="1" t="s">
        <v>30</v>
      </c>
    </row>
    <row r="449" spans="1:12" x14ac:dyDescent="0.25">
      <c r="A449" s="5">
        <v>46105</v>
      </c>
      <c r="B449" s="4" t="s">
        <v>31</v>
      </c>
      <c r="C449" s="4">
        <v>2072</v>
      </c>
      <c r="D449" s="3">
        <v>18</v>
      </c>
      <c r="E449" s="3">
        <v>14</v>
      </c>
      <c r="F449" s="3">
        <v>296</v>
      </c>
      <c r="G449" s="2">
        <v>1258.6500000000001</v>
      </c>
      <c r="H449" s="1" t="s">
        <v>14</v>
      </c>
      <c r="I449" s="1" t="s">
        <v>3</v>
      </c>
      <c r="J449" s="1" t="s">
        <v>18</v>
      </c>
      <c r="K449" s="1" t="s">
        <v>1</v>
      </c>
      <c r="L449" s="1" t="s">
        <v>30</v>
      </c>
    </row>
    <row r="450" spans="1:12" x14ac:dyDescent="0.25">
      <c r="A450" s="5">
        <v>46106</v>
      </c>
      <c r="B450" s="4" t="s">
        <v>31</v>
      </c>
      <c r="C450" s="4">
        <v>3059</v>
      </c>
      <c r="D450" s="3">
        <v>22</v>
      </c>
      <c r="E450" s="3">
        <v>30</v>
      </c>
      <c r="F450" s="3">
        <v>434</v>
      </c>
      <c r="G450" s="2">
        <v>957.97</v>
      </c>
      <c r="H450" s="1" t="s">
        <v>14</v>
      </c>
      <c r="I450" s="1" t="s">
        <v>13</v>
      </c>
      <c r="J450" s="1" t="s">
        <v>18</v>
      </c>
      <c r="K450" s="1" t="s">
        <v>7</v>
      </c>
      <c r="L450" s="1" t="s">
        <v>30</v>
      </c>
    </row>
    <row r="451" spans="1:12" x14ac:dyDescent="0.25">
      <c r="A451" s="5">
        <v>46107</v>
      </c>
      <c r="B451" s="4" t="s">
        <v>31</v>
      </c>
      <c r="C451" s="4">
        <v>2263</v>
      </c>
      <c r="D451" s="3">
        <v>36</v>
      </c>
      <c r="E451" s="3">
        <v>39</v>
      </c>
      <c r="F451" s="3">
        <v>291</v>
      </c>
      <c r="G451" s="2">
        <v>1473.29</v>
      </c>
      <c r="H451" s="1" t="s">
        <v>12</v>
      </c>
      <c r="I451" s="1" t="s">
        <v>13</v>
      </c>
      <c r="J451" s="1" t="s">
        <v>18</v>
      </c>
      <c r="K451" s="1" t="s">
        <v>15</v>
      </c>
      <c r="L451" s="1" t="s">
        <v>30</v>
      </c>
    </row>
    <row r="452" spans="1:12" x14ac:dyDescent="0.25">
      <c r="A452" s="5">
        <v>46108</v>
      </c>
      <c r="B452" s="4" t="s">
        <v>31</v>
      </c>
      <c r="C452" s="4">
        <v>3243</v>
      </c>
      <c r="D452" s="3">
        <v>13</v>
      </c>
      <c r="E452" s="3">
        <v>15</v>
      </c>
      <c r="F452" s="3">
        <v>268</v>
      </c>
      <c r="G452" s="2">
        <v>1113.8599999999999</v>
      </c>
      <c r="H452" s="1" t="s">
        <v>12</v>
      </c>
      <c r="I452" s="1" t="s">
        <v>3</v>
      </c>
      <c r="J452" s="1" t="s">
        <v>18</v>
      </c>
      <c r="K452" s="1" t="s">
        <v>7</v>
      </c>
      <c r="L452" s="1" t="s">
        <v>30</v>
      </c>
    </row>
    <row r="453" spans="1:12" x14ac:dyDescent="0.25">
      <c r="A453" s="5">
        <v>46109</v>
      </c>
      <c r="B453" s="4" t="s">
        <v>31</v>
      </c>
      <c r="C453" s="4">
        <v>3274</v>
      </c>
      <c r="D453" s="3">
        <v>36</v>
      </c>
      <c r="E453" s="3">
        <v>36</v>
      </c>
      <c r="F453" s="3">
        <v>403</v>
      </c>
      <c r="G453" s="2">
        <v>328.4</v>
      </c>
      <c r="H453" s="1" t="s">
        <v>12</v>
      </c>
      <c r="I453" s="1" t="s">
        <v>13</v>
      </c>
      <c r="J453" s="1" t="s">
        <v>11</v>
      </c>
      <c r="K453" s="1" t="s">
        <v>10</v>
      </c>
      <c r="L453" s="1" t="s">
        <v>30</v>
      </c>
    </row>
    <row r="454" spans="1:12" x14ac:dyDescent="0.25">
      <c r="A454" s="5">
        <v>46110</v>
      </c>
      <c r="B454" s="4" t="s">
        <v>31</v>
      </c>
      <c r="C454" s="4">
        <v>4217</v>
      </c>
      <c r="D454" s="3">
        <v>31</v>
      </c>
      <c r="E454" s="3">
        <v>36</v>
      </c>
      <c r="F454" s="3">
        <v>369</v>
      </c>
      <c r="G454" s="2">
        <v>828.78</v>
      </c>
      <c r="H454" s="1" t="s">
        <v>25</v>
      </c>
      <c r="I454" s="1" t="s">
        <v>13</v>
      </c>
      <c r="J454" s="1" t="s">
        <v>2</v>
      </c>
      <c r="K454" s="1" t="s">
        <v>7</v>
      </c>
      <c r="L454" s="1" t="s">
        <v>30</v>
      </c>
    </row>
    <row r="455" spans="1:12" x14ac:dyDescent="0.25">
      <c r="A455" s="5">
        <v>46111</v>
      </c>
      <c r="B455" s="4" t="s">
        <v>31</v>
      </c>
      <c r="C455" s="4">
        <v>3368</v>
      </c>
      <c r="D455" s="3">
        <v>28</v>
      </c>
      <c r="E455" s="3">
        <v>19</v>
      </c>
      <c r="F455" s="3">
        <v>412</v>
      </c>
      <c r="G455" s="2">
        <v>680.52</v>
      </c>
      <c r="H455" s="1" t="s">
        <v>14</v>
      </c>
      <c r="I455" s="1" t="s">
        <v>13</v>
      </c>
      <c r="J455" s="1" t="s">
        <v>18</v>
      </c>
      <c r="K455" s="1" t="s">
        <v>15</v>
      </c>
      <c r="L455" s="1" t="s">
        <v>30</v>
      </c>
    </row>
    <row r="456" spans="1:12" x14ac:dyDescent="0.25">
      <c r="A456" s="5">
        <v>46112</v>
      </c>
      <c r="B456" s="4" t="s">
        <v>31</v>
      </c>
      <c r="C456" s="4">
        <v>2910</v>
      </c>
      <c r="D456" s="3">
        <v>26</v>
      </c>
      <c r="E456" s="3">
        <v>48</v>
      </c>
      <c r="F456" s="3">
        <v>179</v>
      </c>
      <c r="G456" s="2">
        <v>867.5</v>
      </c>
      <c r="H456" s="1" t="s">
        <v>14</v>
      </c>
      <c r="I456" s="1" t="s">
        <v>3</v>
      </c>
      <c r="J456" s="1" t="s">
        <v>18</v>
      </c>
      <c r="K456" s="1" t="s">
        <v>7</v>
      </c>
      <c r="L456" s="1" t="s">
        <v>30</v>
      </c>
    </row>
    <row r="457" spans="1:12" x14ac:dyDescent="0.25">
      <c r="A457" s="5">
        <v>46113</v>
      </c>
      <c r="B457" s="4" t="s">
        <v>27</v>
      </c>
      <c r="C457" s="4">
        <v>3033</v>
      </c>
      <c r="D457" s="3">
        <v>34</v>
      </c>
      <c r="E457" s="3">
        <v>10</v>
      </c>
      <c r="F457" s="3">
        <v>419</v>
      </c>
      <c r="G457" s="2">
        <v>279.98</v>
      </c>
      <c r="H457" s="1" t="s">
        <v>12</v>
      </c>
      <c r="I457" s="1" t="s">
        <v>13</v>
      </c>
      <c r="J457" s="1" t="s">
        <v>18</v>
      </c>
      <c r="K457" s="1" t="s">
        <v>10</v>
      </c>
      <c r="L457" s="1" t="s">
        <v>30</v>
      </c>
    </row>
    <row r="458" spans="1:12" x14ac:dyDescent="0.25">
      <c r="A458" s="5">
        <v>46114</v>
      </c>
      <c r="B458" s="4" t="s">
        <v>27</v>
      </c>
      <c r="C458" s="4">
        <v>450</v>
      </c>
      <c r="D458" s="3">
        <v>34</v>
      </c>
      <c r="E458" s="3">
        <v>10</v>
      </c>
      <c r="F458" s="3">
        <v>65</v>
      </c>
      <c r="G458" s="2">
        <v>2429.6799999999998</v>
      </c>
      <c r="H458" s="1" t="s">
        <v>12</v>
      </c>
      <c r="I458" s="1" t="s">
        <v>13</v>
      </c>
      <c r="J458" s="1" t="s">
        <v>18</v>
      </c>
      <c r="K458" s="1" t="s">
        <v>21</v>
      </c>
      <c r="L458" s="1" t="s">
        <v>30</v>
      </c>
    </row>
    <row r="459" spans="1:12" x14ac:dyDescent="0.25">
      <c r="A459" s="5">
        <v>46115</v>
      </c>
      <c r="B459" s="4" t="s">
        <v>27</v>
      </c>
      <c r="C459" s="4">
        <v>2578</v>
      </c>
      <c r="D459" s="3">
        <v>23</v>
      </c>
      <c r="E459" s="3">
        <v>25</v>
      </c>
      <c r="F459" s="3">
        <v>23</v>
      </c>
      <c r="G459" s="2">
        <v>2186.67</v>
      </c>
      <c r="H459" s="1" t="s">
        <v>12</v>
      </c>
      <c r="I459" s="1" t="s">
        <v>13</v>
      </c>
      <c r="J459" s="1" t="s">
        <v>18</v>
      </c>
      <c r="K459" s="1" t="s">
        <v>7</v>
      </c>
      <c r="L459" s="1" t="s">
        <v>30</v>
      </c>
    </row>
    <row r="460" spans="1:12" x14ac:dyDescent="0.25">
      <c r="A460" s="5">
        <v>46116</v>
      </c>
      <c r="B460" s="4" t="s">
        <v>27</v>
      </c>
      <c r="C460" s="4">
        <v>3312</v>
      </c>
      <c r="D460" s="3">
        <v>19</v>
      </c>
      <c r="E460" s="3">
        <v>25</v>
      </c>
      <c r="F460" s="3">
        <v>260</v>
      </c>
      <c r="G460" s="2">
        <v>2329.85</v>
      </c>
      <c r="H460" s="1" t="s">
        <v>19</v>
      </c>
      <c r="I460" s="1" t="s">
        <v>3</v>
      </c>
      <c r="J460" s="1" t="s">
        <v>11</v>
      </c>
      <c r="K460" s="1" t="s">
        <v>7</v>
      </c>
      <c r="L460" s="1" t="s">
        <v>30</v>
      </c>
    </row>
    <row r="461" spans="1:12" x14ac:dyDescent="0.25">
      <c r="A461" s="5">
        <v>46117</v>
      </c>
      <c r="B461" s="4" t="s">
        <v>27</v>
      </c>
      <c r="C461" s="4">
        <v>2854</v>
      </c>
      <c r="D461" s="3">
        <v>28</v>
      </c>
      <c r="E461" s="3">
        <v>22</v>
      </c>
      <c r="F461" s="3">
        <v>359</v>
      </c>
      <c r="G461" s="2">
        <v>1782.35</v>
      </c>
      <c r="H461" s="1" t="s">
        <v>12</v>
      </c>
      <c r="I461" s="1" t="s">
        <v>13</v>
      </c>
      <c r="J461" s="1" t="s">
        <v>18</v>
      </c>
      <c r="K461" s="1" t="s">
        <v>1</v>
      </c>
      <c r="L461" s="1" t="s">
        <v>30</v>
      </c>
    </row>
    <row r="462" spans="1:12" x14ac:dyDescent="0.25">
      <c r="A462" s="5">
        <v>46118</v>
      </c>
      <c r="B462" s="4" t="s">
        <v>27</v>
      </c>
      <c r="C462" s="4">
        <v>3707</v>
      </c>
      <c r="D462" s="3">
        <v>30</v>
      </c>
      <c r="E462" s="3">
        <v>26</v>
      </c>
      <c r="F462" s="3">
        <v>144</v>
      </c>
      <c r="G462" s="2">
        <v>1644.63</v>
      </c>
      <c r="H462" s="1" t="s">
        <v>14</v>
      </c>
      <c r="I462" s="1" t="s">
        <v>13</v>
      </c>
      <c r="J462" s="1" t="s">
        <v>18</v>
      </c>
      <c r="K462" s="1" t="s">
        <v>7</v>
      </c>
      <c r="L462" s="1" t="s">
        <v>30</v>
      </c>
    </row>
    <row r="463" spans="1:12" x14ac:dyDescent="0.25">
      <c r="A463" s="5">
        <v>46119</v>
      </c>
      <c r="B463" s="4" t="s">
        <v>27</v>
      </c>
      <c r="C463" s="4">
        <v>3341</v>
      </c>
      <c r="D463" s="3">
        <v>7</v>
      </c>
      <c r="E463" s="3">
        <v>38</v>
      </c>
      <c r="F463" s="3">
        <v>179</v>
      </c>
      <c r="G463" s="2">
        <v>2415.37</v>
      </c>
      <c r="H463" s="1" t="s">
        <v>12</v>
      </c>
      <c r="I463" s="1" t="s">
        <v>3</v>
      </c>
      <c r="J463" s="1" t="s">
        <v>11</v>
      </c>
      <c r="K463" s="1" t="s">
        <v>1</v>
      </c>
      <c r="L463" s="1" t="s">
        <v>28</v>
      </c>
    </row>
    <row r="464" spans="1:12" x14ac:dyDescent="0.25">
      <c r="A464" s="5">
        <v>46120</v>
      </c>
      <c r="B464" s="4" t="s">
        <v>27</v>
      </c>
      <c r="C464" s="4">
        <v>2527</v>
      </c>
      <c r="D464" s="3">
        <v>25</v>
      </c>
      <c r="E464" s="3">
        <v>12</v>
      </c>
      <c r="F464" s="3">
        <v>230</v>
      </c>
      <c r="G464" s="2">
        <v>1442.97</v>
      </c>
      <c r="H464" s="1" t="s">
        <v>12</v>
      </c>
      <c r="I464" s="1" t="s">
        <v>13</v>
      </c>
      <c r="J464" s="1" t="s">
        <v>18</v>
      </c>
      <c r="K464" s="1" t="s">
        <v>1</v>
      </c>
      <c r="L464" s="1" t="s">
        <v>28</v>
      </c>
    </row>
    <row r="465" spans="1:12" x14ac:dyDescent="0.25">
      <c r="A465" s="5">
        <v>46121</v>
      </c>
      <c r="B465" s="4" t="s">
        <v>27</v>
      </c>
      <c r="C465" s="4">
        <v>1382</v>
      </c>
      <c r="D465" s="3">
        <v>23</v>
      </c>
      <c r="E465" s="3">
        <v>40</v>
      </c>
      <c r="F465" s="3">
        <v>281</v>
      </c>
      <c r="G465" s="2">
        <v>528.80999999999995</v>
      </c>
      <c r="H465" s="1" t="s">
        <v>12</v>
      </c>
      <c r="I465" s="1" t="s">
        <v>13</v>
      </c>
      <c r="J465" s="1" t="s">
        <v>18</v>
      </c>
      <c r="K465" s="1" t="s">
        <v>7</v>
      </c>
      <c r="L465" s="1" t="s">
        <v>28</v>
      </c>
    </row>
    <row r="466" spans="1:12" x14ac:dyDescent="0.25">
      <c r="A466" s="5">
        <v>46122</v>
      </c>
      <c r="B466" s="4" t="s">
        <v>27</v>
      </c>
      <c r="C466" s="4">
        <v>3471</v>
      </c>
      <c r="D466" s="3">
        <v>21</v>
      </c>
      <c r="E466" s="3">
        <v>29</v>
      </c>
      <c r="F466" s="3">
        <v>24</v>
      </c>
      <c r="G466" s="2">
        <v>1489.61</v>
      </c>
      <c r="H466" s="1" t="s">
        <v>12</v>
      </c>
      <c r="I466" s="1" t="s">
        <v>13</v>
      </c>
      <c r="J466" s="1" t="s">
        <v>18</v>
      </c>
      <c r="K466" s="1" t="s">
        <v>15</v>
      </c>
      <c r="L466" s="1" t="s">
        <v>28</v>
      </c>
    </row>
    <row r="467" spans="1:12" x14ac:dyDescent="0.25">
      <c r="A467" s="5">
        <v>46123</v>
      </c>
      <c r="B467" s="4" t="s">
        <v>27</v>
      </c>
      <c r="C467" s="4">
        <v>4133</v>
      </c>
      <c r="D467" s="3">
        <v>27</v>
      </c>
      <c r="E467" s="3">
        <v>71</v>
      </c>
      <c r="F467" s="3">
        <v>435</v>
      </c>
      <c r="G467" s="2">
        <v>1521.71</v>
      </c>
      <c r="H467" s="1" t="s">
        <v>4</v>
      </c>
      <c r="I467" s="1" t="s">
        <v>3</v>
      </c>
      <c r="J467" s="1" t="s">
        <v>18</v>
      </c>
      <c r="K467" s="1" t="s">
        <v>10</v>
      </c>
      <c r="L467" s="1" t="s">
        <v>28</v>
      </c>
    </row>
    <row r="468" spans="1:12" x14ac:dyDescent="0.25">
      <c r="A468" s="5">
        <v>46124</v>
      </c>
      <c r="B468" s="4" t="s">
        <v>27</v>
      </c>
      <c r="C468" s="4">
        <v>1382</v>
      </c>
      <c r="D468" s="3">
        <v>25</v>
      </c>
      <c r="E468" s="3">
        <v>24</v>
      </c>
      <c r="F468" s="3">
        <v>380</v>
      </c>
      <c r="G468" s="2">
        <v>833.6</v>
      </c>
      <c r="H468" s="1" t="s">
        <v>4</v>
      </c>
      <c r="I468" s="1" t="s">
        <v>13</v>
      </c>
      <c r="J468" s="1" t="s">
        <v>2</v>
      </c>
      <c r="K468" s="1" t="s">
        <v>1</v>
      </c>
      <c r="L468" s="1" t="s">
        <v>28</v>
      </c>
    </row>
    <row r="469" spans="1:12" x14ac:dyDescent="0.25">
      <c r="A469" s="5">
        <v>46125</v>
      </c>
      <c r="B469" s="4" t="s">
        <v>27</v>
      </c>
      <c r="C469" s="4">
        <v>4961</v>
      </c>
      <c r="D469" s="3">
        <v>36</v>
      </c>
      <c r="E469" s="3">
        <v>76</v>
      </c>
      <c r="F469" s="3">
        <v>418</v>
      </c>
      <c r="G469" s="2">
        <v>2117.29</v>
      </c>
      <c r="H469" s="1" t="s">
        <v>14</v>
      </c>
      <c r="I469" s="1" t="s">
        <v>3</v>
      </c>
      <c r="J469" s="1" t="s">
        <v>18</v>
      </c>
      <c r="K469" s="1" t="s">
        <v>1</v>
      </c>
      <c r="L469" s="1" t="s">
        <v>28</v>
      </c>
    </row>
    <row r="470" spans="1:12" x14ac:dyDescent="0.25">
      <c r="A470" s="5">
        <v>46126</v>
      </c>
      <c r="B470" s="4" t="s">
        <v>27</v>
      </c>
      <c r="C470" s="4">
        <v>3980</v>
      </c>
      <c r="D470" s="3">
        <v>12</v>
      </c>
      <c r="E470" s="3">
        <v>37</v>
      </c>
      <c r="F470" s="3">
        <v>51</v>
      </c>
      <c r="G470" s="2">
        <v>221.57</v>
      </c>
      <c r="H470" s="1" t="s">
        <v>12</v>
      </c>
      <c r="I470" s="1" t="s">
        <v>13</v>
      </c>
      <c r="J470" s="1" t="s">
        <v>8</v>
      </c>
      <c r="K470" s="1" t="s">
        <v>21</v>
      </c>
      <c r="L470" s="1" t="s">
        <v>28</v>
      </c>
    </row>
    <row r="471" spans="1:12" x14ac:dyDescent="0.25">
      <c r="A471" s="5">
        <v>46127</v>
      </c>
      <c r="B471" s="4" t="s">
        <v>27</v>
      </c>
      <c r="C471" s="4">
        <v>3468</v>
      </c>
      <c r="D471" s="3">
        <v>21</v>
      </c>
      <c r="E471" s="3">
        <v>37</v>
      </c>
      <c r="F471" s="3">
        <v>151</v>
      </c>
      <c r="G471" s="2">
        <v>533.46</v>
      </c>
      <c r="H471" s="1" t="s">
        <v>29</v>
      </c>
      <c r="I471" s="1" t="s">
        <v>13</v>
      </c>
      <c r="J471" s="1" t="s">
        <v>18</v>
      </c>
      <c r="K471" s="1" t="s">
        <v>1</v>
      </c>
      <c r="L471" s="1" t="s">
        <v>28</v>
      </c>
    </row>
    <row r="472" spans="1:12" x14ac:dyDescent="0.25">
      <c r="A472" s="5">
        <v>46128</v>
      </c>
      <c r="B472" s="4" t="s">
        <v>27</v>
      </c>
      <c r="C472" s="4">
        <v>2618</v>
      </c>
      <c r="D472" s="3">
        <v>25</v>
      </c>
      <c r="E472" s="3">
        <v>48</v>
      </c>
      <c r="F472" s="3">
        <v>272</v>
      </c>
      <c r="G472" s="2">
        <v>589</v>
      </c>
      <c r="H472" s="1" t="s">
        <v>14</v>
      </c>
      <c r="I472" s="1" t="s">
        <v>3</v>
      </c>
      <c r="J472" s="1" t="s">
        <v>18</v>
      </c>
      <c r="K472" s="1" t="s">
        <v>10</v>
      </c>
      <c r="L472" s="1" t="s">
        <v>28</v>
      </c>
    </row>
    <row r="473" spans="1:12" x14ac:dyDescent="0.25">
      <c r="A473" s="5">
        <v>46129</v>
      </c>
      <c r="B473" s="4" t="s">
        <v>27</v>
      </c>
      <c r="C473" s="4">
        <v>1332</v>
      </c>
      <c r="D473" s="3">
        <v>17</v>
      </c>
      <c r="E473" s="3">
        <v>8</v>
      </c>
      <c r="F473" s="3">
        <v>270</v>
      </c>
      <c r="G473" s="2">
        <v>2035.83</v>
      </c>
      <c r="H473" s="1" t="s">
        <v>4</v>
      </c>
      <c r="I473" s="1" t="s">
        <v>13</v>
      </c>
      <c r="J473" s="1" t="s">
        <v>2</v>
      </c>
      <c r="K473" s="1" t="s">
        <v>1</v>
      </c>
      <c r="L473" s="1" t="s">
        <v>28</v>
      </c>
    </row>
    <row r="474" spans="1:12" x14ac:dyDescent="0.25">
      <c r="A474" s="5">
        <v>46130</v>
      </c>
      <c r="B474" s="4" t="s">
        <v>27</v>
      </c>
      <c r="C474" s="4">
        <v>2150</v>
      </c>
      <c r="D474" s="3">
        <v>27</v>
      </c>
      <c r="E474" s="3">
        <v>23</v>
      </c>
      <c r="F474" s="3">
        <v>319</v>
      </c>
      <c r="G474" s="2">
        <v>2217.96</v>
      </c>
      <c r="H474" s="1" t="s">
        <v>12</v>
      </c>
      <c r="I474" s="1" t="s">
        <v>13</v>
      </c>
      <c r="J474" s="1" t="s">
        <v>18</v>
      </c>
      <c r="K474" s="1" t="s">
        <v>21</v>
      </c>
      <c r="L474" s="1" t="s">
        <v>28</v>
      </c>
    </row>
    <row r="475" spans="1:12" x14ac:dyDescent="0.25">
      <c r="A475" s="5">
        <v>46131</v>
      </c>
      <c r="B475" s="4" t="s">
        <v>27</v>
      </c>
      <c r="C475" s="4">
        <v>2889</v>
      </c>
      <c r="D475" s="3">
        <v>30</v>
      </c>
      <c r="E475" s="3">
        <v>29</v>
      </c>
      <c r="F475" s="3">
        <v>438</v>
      </c>
      <c r="G475" s="2">
        <v>812.11</v>
      </c>
      <c r="H475" s="1" t="s">
        <v>25</v>
      </c>
      <c r="I475" s="1" t="s">
        <v>3</v>
      </c>
      <c r="J475" s="1" t="s">
        <v>18</v>
      </c>
      <c r="K475" s="1" t="s">
        <v>17</v>
      </c>
      <c r="L475" s="1" t="s">
        <v>28</v>
      </c>
    </row>
    <row r="476" spans="1:12" x14ac:dyDescent="0.25">
      <c r="A476" s="5">
        <v>46132</v>
      </c>
      <c r="B476" s="4" t="s">
        <v>27</v>
      </c>
      <c r="C476" s="4">
        <v>2145</v>
      </c>
      <c r="D476" s="3">
        <v>21</v>
      </c>
      <c r="E476" s="3">
        <v>37</v>
      </c>
      <c r="F476" s="3">
        <v>290</v>
      </c>
      <c r="G476" s="2">
        <v>831.52</v>
      </c>
      <c r="H476" s="1" t="s">
        <v>12</v>
      </c>
      <c r="I476" s="1" t="s">
        <v>13</v>
      </c>
      <c r="J476" s="1" t="s">
        <v>11</v>
      </c>
      <c r="K476" s="1" t="s">
        <v>15</v>
      </c>
      <c r="L476" s="1" t="s">
        <v>28</v>
      </c>
    </row>
    <row r="477" spans="1:12" x14ac:dyDescent="0.25">
      <c r="A477" s="5">
        <v>46133</v>
      </c>
      <c r="B477" s="4" t="s">
        <v>27</v>
      </c>
      <c r="C477" s="4">
        <v>2825</v>
      </c>
      <c r="D477" s="3">
        <v>23</v>
      </c>
      <c r="E477" s="3">
        <v>15</v>
      </c>
      <c r="F477" s="3">
        <v>98</v>
      </c>
      <c r="G477" s="2">
        <v>1059.78</v>
      </c>
      <c r="H477" s="1" t="s">
        <v>14</v>
      </c>
      <c r="I477" s="1" t="s">
        <v>13</v>
      </c>
      <c r="J477" s="1" t="s">
        <v>18</v>
      </c>
      <c r="K477" s="1" t="s">
        <v>15</v>
      </c>
      <c r="L477" s="1" t="s">
        <v>28</v>
      </c>
    </row>
    <row r="478" spans="1:12" x14ac:dyDescent="0.25">
      <c r="A478" s="5">
        <v>46134</v>
      </c>
      <c r="B478" s="4" t="s">
        <v>27</v>
      </c>
      <c r="C478" s="4">
        <v>4110</v>
      </c>
      <c r="D478" s="3">
        <v>24</v>
      </c>
      <c r="E478" s="3">
        <v>49</v>
      </c>
      <c r="F478" s="3">
        <v>34</v>
      </c>
      <c r="G478" s="2">
        <v>201.92</v>
      </c>
      <c r="H478" s="1" t="s">
        <v>14</v>
      </c>
      <c r="I478" s="1" t="s">
        <v>3</v>
      </c>
      <c r="J478" s="1" t="s">
        <v>18</v>
      </c>
      <c r="K478" s="1" t="s">
        <v>15</v>
      </c>
      <c r="L478" s="1" t="s">
        <v>28</v>
      </c>
    </row>
    <row r="479" spans="1:12" x14ac:dyDescent="0.25">
      <c r="A479" s="5">
        <v>46135</v>
      </c>
      <c r="B479" s="4" t="s">
        <v>27</v>
      </c>
      <c r="C479" s="4">
        <v>3509</v>
      </c>
      <c r="D479" s="3">
        <v>25</v>
      </c>
      <c r="E479" s="3">
        <v>7</v>
      </c>
      <c r="F479" s="3">
        <v>327</v>
      </c>
      <c r="G479" s="2">
        <v>7.56</v>
      </c>
      <c r="H479" s="1" t="s">
        <v>12</v>
      </c>
      <c r="I479" s="1" t="s">
        <v>3</v>
      </c>
      <c r="J479" s="1" t="s">
        <v>11</v>
      </c>
      <c r="K479" s="1" t="s">
        <v>17</v>
      </c>
      <c r="L479" s="1" t="s">
        <v>26</v>
      </c>
    </row>
    <row r="480" spans="1:12" x14ac:dyDescent="0.25">
      <c r="A480" s="5">
        <v>46136</v>
      </c>
      <c r="B480" s="4" t="s">
        <v>27</v>
      </c>
      <c r="C480" s="4">
        <v>3087</v>
      </c>
      <c r="D480" s="3">
        <v>10</v>
      </c>
      <c r="E480" s="3">
        <v>18</v>
      </c>
      <c r="F480" s="3">
        <v>211</v>
      </c>
      <c r="G480" s="2">
        <v>1799.22</v>
      </c>
      <c r="H480" s="1" t="s">
        <v>12</v>
      </c>
      <c r="I480" s="1" t="s">
        <v>13</v>
      </c>
      <c r="J480" s="1" t="s">
        <v>11</v>
      </c>
      <c r="K480" s="1" t="s">
        <v>7</v>
      </c>
      <c r="L480" s="1" t="s">
        <v>26</v>
      </c>
    </row>
    <row r="481" spans="1:12" x14ac:dyDescent="0.25">
      <c r="A481" s="5">
        <v>46137</v>
      </c>
      <c r="B481" s="4" t="s">
        <v>27</v>
      </c>
      <c r="C481" s="4">
        <v>1923</v>
      </c>
      <c r="D481" s="3">
        <v>19</v>
      </c>
      <c r="E481" s="3">
        <v>29</v>
      </c>
      <c r="F481" s="3">
        <v>62</v>
      </c>
      <c r="G481" s="2">
        <v>1932.31</v>
      </c>
      <c r="H481" s="1" t="s">
        <v>12</v>
      </c>
      <c r="I481" s="1" t="s">
        <v>3</v>
      </c>
      <c r="J481" s="1" t="s">
        <v>18</v>
      </c>
      <c r="K481" s="1" t="s">
        <v>10</v>
      </c>
      <c r="L481" s="1" t="s">
        <v>26</v>
      </c>
    </row>
    <row r="482" spans="1:12" x14ac:dyDescent="0.25">
      <c r="A482" s="5">
        <v>46138</v>
      </c>
      <c r="B482" s="4" t="s">
        <v>27</v>
      </c>
      <c r="C482" s="4">
        <v>4184</v>
      </c>
      <c r="D482" s="3">
        <v>31</v>
      </c>
      <c r="E482" s="3">
        <v>32</v>
      </c>
      <c r="F482" s="3">
        <v>154</v>
      </c>
      <c r="G482" s="2">
        <v>387.65</v>
      </c>
      <c r="H482" s="1" t="s">
        <v>14</v>
      </c>
      <c r="I482" s="1" t="s">
        <v>3</v>
      </c>
      <c r="J482" s="1" t="s">
        <v>18</v>
      </c>
      <c r="K482" s="1" t="s">
        <v>21</v>
      </c>
      <c r="L482" s="1" t="s">
        <v>26</v>
      </c>
    </row>
    <row r="483" spans="1:12" x14ac:dyDescent="0.25">
      <c r="A483" s="5">
        <v>46139</v>
      </c>
      <c r="B483" s="4" t="s">
        <v>27</v>
      </c>
      <c r="C483" s="4">
        <v>3228</v>
      </c>
      <c r="D483" s="3">
        <v>25</v>
      </c>
      <c r="E483" s="3">
        <v>8</v>
      </c>
      <c r="F483" s="3">
        <v>356</v>
      </c>
      <c r="G483" s="2">
        <v>304.2</v>
      </c>
      <c r="H483" s="1" t="s">
        <v>12</v>
      </c>
      <c r="I483" s="1" t="s">
        <v>13</v>
      </c>
      <c r="J483" s="1" t="s">
        <v>18</v>
      </c>
      <c r="K483" s="1" t="s">
        <v>10</v>
      </c>
      <c r="L483" s="1" t="s">
        <v>26</v>
      </c>
    </row>
    <row r="484" spans="1:12" x14ac:dyDescent="0.25">
      <c r="A484" s="5">
        <v>46140</v>
      </c>
      <c r="B484" s="4" t="s">
        <v>27</v>
      </c>
      <c r="C484" s="4">
        <v>3218</v>
      </c>
      <c r="D484" s="3">
        <v>35</v>
      </c>
      <c r="E484" s="3">
        <v>14</v>
      </c>
      <c r="F484" s="3">
        <v>358</v>
      </c>
      <c r="G484" s="2">
        <v>1703.24</v>
      </c>
      <c r="H484" s="1" t="s">
        <v>12</v>
      </c>
      <c r="I484" s="1" t="s">
        <v>3</v>
      </c>
      <c r="J484" s="1" t="s">
        <v>18</v>
      </c>
      <c r="K484" s="1" t="s">
        <v>10</v>
      </c>
      <c r="L484" s="1" t="s">
        <v>26</v>
      </c>
    </row>
    <row r="485" spans="1:12" x14ac:dyDescent="0.25">
      <c r="A485" s="5">
        <v>46141</v>
      </c>
      <c r="B485" s="4" t="s">
        <v>27</v>
      </c>
      <c r="C485" s="4">
        <v>3403</v>
      </c>
      <c r="D485" s="3">
        <v>22</v>
      </c>
      <c r="E485" s="3">
        <v>35</v>
      </c>
      <c r="F485" s="3">
        <v>304</v>
      </c>
      <c r="G485" s="2">
        <v>1169.42</v>
      </c>
      <c r="H485" s="1" t="s">
        <v>19</v>
      </c>
      <c r="I485" s="1" t="s">
        <v>13</v>
      </c>
      <c r="J485" s="1" t="s">
        <v>11</v>
      </c>
      <c r="K485" s="1" t="s">
        <v>7</v>
      </c>
      <c r="L485" s="1" t="s">
        <v>26</v>
      </c>
    </row>
    <row r="486" spans="1:12" x14ac:dyDescent="0.25">
      <c r="A486" s="5">
        <v>46142</v>
      </c>
      <c r="B486" s="4" t="s">
        <v>27</v>
      </c>
      <c r="C486" s="4">
        <v>1962</v>
      </c>
      <c r="D486" s="3">
        <v>32</v>
      </c>
      <c r="E486" s="3">
        <v>22</v>
      </c>
      <c r="F486" s="3">
        <v>416</v>
      </c>
      <c r="G486" s="2">
        <v>2335.5500000000002</v>
      </c>
      <c r="H486" s="1" t="s">
        <v>14</v>
      </c>
      <c r="I486" s="1" t="s">
        <v>13</v>
      </c>
      <c r="J486" s="1" t="s">
        <v>2</v>
      </c>
      <c r="K486" s="1" t="s">
        <v>10</v>
      </c>
      <c r="L486" s="1" t="s">
        <v>26</v>
      </c>
    </row>
    <row r="487" spans="1:12" x14ac:dyDescent="0.25">
      <c r="A487" s="5">
        <v>46143</v>
      </c>
      <c r="B487" s="4" t="s">
        <v>23</v>
      </c>
      <c r="C487" s="4">
        <v>2248</v>
      </c>
      <c r="D487" s="3">
        <v>21</v>
      </c>
      <c r="E487" s="3">
        <v>47</v>
      </c>
      <c r="F487" s="3">
        <v>276</v>
      </c>
      <c r="G487" s="2">
        <v>957.01</v>
      </c>
      <c r="H487" s="1" t="s">
        <v>25</v>
      </c>
      <c r="I487" s="1" t="s">
        <v>13</v>
      </c>
      <c r="J487" s="1" t="s">
        <v>18</v>
      </c>
      <c r="K487" s="1" t="s">
        <v>7</v>
      </c>
      <c r="L487" s="1" t="s">
        <v>26</v>
      </c>
    </row>
    <row r="488" spans="1:12" x14ac:dyDescent="0.25">
      <c r="A488" s="5">
        <v>46144</v>
      </c>
      <c r="B488" s="4" t="s">
        <v>23</v>
      </c>
      <c r="C488" s="4">
        <v>3745</v>
      </c>
      <c r="D488" s="3">
        <v>22</v>
      </c>
      <c r="E488" s="3">
        <v>23</v>
      </c>
      <c r="F488" s="3">
        <v>27</v>
      </c>
      <c r="G488" s="2">
        <v>1684.75</v>
      </c>
      <c r="H488" s="1" t="s">
        <v>25</v>
      </c>
      <c r="I488" s="1" t="s">
        <v>3</v>
      </c>
      <c r="J488" s="1" t="s">
        <v>18</v>
      </c>
      <c r="K488" s="1" t="s">
        <v>7</v>
      </c>
      <c r="L488" s="1" t="s">
        <v>26</v>
      </c>
    </row>
    <row r="489" spans="1:12" x14ac:dyDescent="0.25">
      <c r="A489" s="5">
        <v>46145</v>
      </c>
      <c r="B489" s="4" t="s">
        <v>23</v>
      </c>
      <c r="C489" s="4">
        <v>3297</v>
      </c>
      <c r="D489" s="3">
        <v>19</v>
      </c>
      <c r="E489" s="3">
        <v>12</v>
      </c>
      <c r="F489" s="3">
        <v>184</v>
      </c>
      <c r="G489" s="2">
        <v>2238.59</v>
      </c>
      <c r="H489" s="1" t="s">
        <v>12</v>
      </c>
      <c r="I489" s="1" t="s">
        <v>3</v>
      </c>
      <c r="J489" s="1" t="s">
        <v>18</v>
      </c>
      <c r="K489" s="1" t="s">
        <v>1</v>
      </c>
      <c r="L489" s="1" t="s">
        <v>26</v>
      </c>
    </row>
    <row r="490" spans="1:12" x14ac:dyDescent="0.25">
      <c r="A490" s="5">
        <v>46146</v>
      </c>
      <c r="B490" s="4" t="s">
        <v>23</v>
      </c>
      <c r="C490" s="4">
        <v>4876</v>
      </c>
      <c r="D490" s="3">
        <v>24</v>
      </c>
      <c r="E490" s="3">
        <v>41</v>
      </c>
      <c r="F490" s="3">
        <v>190</v>
      </c>
      <c r="G490" s="2">
        <v>2110.4299999999998</v>
      </c>
      <c r="H490" s="1" t="s">
        <v>4</v>
      </c>
      <c r="I490" s="1" t="s">
        <v>3</v>
      </c>
      <c r="J490" s="1" t="s">
        <v>11</v>
      </c>
      <c r="K490" s="1" t="s">
        <v>7</v>
      </c>
      <c r="L490" s="1" t="s">
        <v>26</v>
      </c>
    </row>
    <row r="491" spans="1:12" x14ac:dyDescent="0.25">
      <c r="A491" s="5">
        <v>46147</v>
      </c>
      <c r="B491" s="4" t="s">
        <v>23</v>
      </c>
      <c r="C491" s="4">
        <v>2625</v>
      </c>
      <c r="D491" s="3">
        <v>24</v>
      </c>
      <c r="E491" s="3">
        <v>23</v>
      </c>
      <c r="F491" s="3">
        <v>49</v>
      </c>
      <c r="G491" s="2">
        <v>483.76</v>
      </c>
      <c r="H491" s="1" t="s">
        <v>4</v>
      </c>
      <c r="I491" s="1" t="s">
        <v>13</v>
      </c>
      <c r="J491" s="1" t="s">
        <v>18</v>
      </c>
      <c r="K491" s="1" t="s">
        <v>1</v>
      </c>
      <c r="L491" s="1" t="s">
        <v>26</v>
      </c>
    </row>
    <row r="492" spans="1:12" x14ac:dyDescent="0.25">
      <c r="A492" s="5">
        <v>46148</v>
      </c>
      <c r="B492" s="4" t="s">
        <v>23</v>
      </c>
      <c r="C492" s="4">
        <v>2109</v>
      </c>
      <c r="D492" s="3">
        <v>32</v>
      </c>
      <c r="E492" s="3">
        <v>29</v>
      </c>
      <c r="F492" s="3">
        <v>101</v>
      </c>
      <c r="G492" s="2">
        <v>281.25</v>
      </c>
      <c r="H492" s="1" t="s">
        <v>14</v>
      </c>
      <c r="I492" s="1" t="s">
        <v>13</v>
      </c>
      <c r="J492" s="1" t="s">
        <v>18</v>
      </c>
      <c r="K492" s="1" t="s">
        <v>17</v>
      </c>
      <c r="L492" s="1" t="s">
        <v>26</v>
      </c>
    </row>
    <row r="493" spans="1:12" x14ac:dyDescent="0.25">
      <c r="A493" s="5">
        <v>46149</v>
      </c>
      <c r="B493" s="4" t="s">
        <v>23</v>
      </c>
      <c r="C493" s="4">
        <v>4171</v>
      </c>
      <c r="D493" s="3">
        <v>19</v>
      </c>
      <c r="E493" s="3">
        <v>28</v>
      </c>
      <c r="F493" s="3">
        <v>429</v>
      </c>
      <c r="G493" s="2">
        <v>1385.44</v>
      </c>
      <c r="H493" s="1" t="s">
        <v>14</v>
      </c>
      <c r="I493" s="1" t="s">
        <v>3</v>
      </c>
      <c r="J493" s="1" t="s">
        <v>18</v>
      </c>
      <c r="K493" s="1" t="s">
        <v>1</v>
      </c>
      <c r="L493" s="1" t="s">
        <v>26</v>
      </c>
    </row>
    <row r="494" spans="1:12" x14ac:dyDescent="0.25">
      <c r="A494" s="5">
        <v>46150</v>
      </c>
      <c r="B494" s="4" t="s">
        <v>23</v>
      </c>
      <c r="C494" s="4">
        <v>3127</v>
      </c>
      <c r="D494" s="3">
        <v>23</v>
      </c>
      <c r="E494" s="3">
        <v>14</v>
      </c>
      <c r="F494" s="3">
        <v>359</v>
      </c>
      <c r="G494" s="2">
        <v>313.95999999999998</v>
      </c>
      <c r="H494" s="1" t="s">
        <v>25</v>
      </c>
      <c r="I494" s="1" t="s">
        <v>13</v>
      </c>
      <c r="J494" s="1" t="s">
        <v>11</v>
      </c>
      <c r="K494" s="1" t="s">
        <v>15</v>
      </c>
      <c r="L494" s="1" t="s">
        <v>24</v>
      </c>
    </row>
    <row r="495" spans="1:12" x14ac:dyDescent="0.25">
      <c r="A495" s="5">
        <v>46151</v>
      </c>
      <c r="B495" s="4" t="s">
        <v>23</v>
      </c>
      <c r="C495" s="4">
        <v>2953</v>
      </c>
      <c r="D495" s="3">
        <v>22</v>
      </c>
      <c r="E495" s="3">
        <v>31</v>
      </c>
      <c r="F495" s="3">
        <v>197</v>
      </c>
      <c r="G495" s="2">
        <v>1545.19</v>
      </c>
      <c r="H495" s="1" t="s">
        <v>14</v>
      </c>
      <c r="I495" s="1" t="s">
        <v>13</v>
      </c>
      <c r="J495" s="1" t="s">
        <v>2</v>
      </c>
      <c r="K495" s="1" t="s">
        <v>10</v>
      </c>
      <c r="L495" s="1" t="s">
        <v>24</v>
      </c>
    </row>
    <row r="496" spans="1:12" x14ac:dyDescent="0.25">
      <c r="A496" s="5">
        <v>46152</v>
      </c>
      <c r="B496" s="4" t="s">
        <v>23</v>
      </c>
      <c r="C496" s="4">
        <v>2740</v>
      </c>
      <c r="D496" s="3">
        <v>23</v>
      </c>
      <c r="E496" s="3">
        <v>39</v>
      </c>
      <c r="F496" s="3">
        <v>250</v>
      </c>
      <c r="G496" s="2">
        <v>1492.48</v>
      </c>
      <c r="H496" s="1" t="s">
        <v>12</v>
      </c>
      <c r="I496" s="1" t="s">
        <v>13</v>
      </c>
      <c r="J496" s="1" t="s">
        <v>8</v>
      </c>
      <c r="K496" s="1" t="s">
        <v>17</v>
      </c>
      <c r="L496" s="1" t="s">
        <v>24</v>
      </c>
    </row>
    <row r="497" spans="1:12" x14ac:dyDescent="0.25">
      <c r="A497" s="5">
        <v>46153</v>
      </c>
      <c r="B497" s="4" t="s">
        <v>23</v>
      </c>
      <c r="C497" s="4">
        <v>1349</v>
      </c>
      <c r="D497" s="3">
        <v>19</v>
      </c>
      <c r="E497" s="3">
        <v>29</v>
      </c>
      <c r="F497" s="3">
        <v>382</v>
      </c>
      <c r="G497" s="2">
        <v>705.57</v>
      </c>
      <c r="H497" s="1" t="s">
        <v>25</v>
      </c>
      <c r="I497" s="1" t="s">
        <v>13</v>
      </c>
      <c r="J497" s="1" t="s">
        <v>18</v>
      </c>
      <c r="K497" s="1" t="s">
        <v>7</v>
      </c>
      <c r="L497" s="1" t="s">
        <v>24</v>
      </c>
    </row>
    <row r="498" spans="1:12" x14ac:dyDescent="0.25">
      <c r="A498" s="5">
        <v>46154</v>
      </c>
      <c r="B498" s="4" t="s">
        <v>23</v>
      </c>
      <c r="C498" s="4">
        <v>3467</v>
      </c>
      <c r="D498" s="3">
        <v>36</v>
      </c>
      <c r="E498" s="3">
        <v>63</v>
      </c>
      <c r="F498" s="3">
        <v>368</v>
      </c>
      <c r="G498" s="2">
        <v>2300.91</v>
      </c>
      <c r="H498" s="1" t="s">
        <v>12</v>
      </c>
      <c r="I498" s="1" t="s">
        <v>3</v>
      </c>
      <c r="J498" s="1" t="s">
        <v>18</v>
      </c>
      <c r="K498" s="1" t="s">
        <v>10</v>
      </c>
      <c r="L498" s="1" t="s">
        <v>24</v>
      </c>
    </row>
    <row r="499" spans="1:12" x14ac:dyDescent="0.25">
      <c r="A499" s="5">
        <v>46155</v>
      </c>
      <c r="B499" s="4" t="s">
        <v>23</v>
      </c>
      <c r="C499" s="4">
        <v>2958</v>
      </c>
      <c r="D499" s="3">
        <v>22</v>
      </c>
      <c r="E499" s="3">
        <v>26</v>
      </c>
      <c r="F499" s="3">
        <v>265</v>
      </c>
      <c r="G499" s="2">
        <v>1734.12</v>
      </c>
      <c r="H499" s="1" t="s">
        <v>19</v>
      </c>
      <c r="I499" s="1" t="s">
        <v>3</v>
      </c>
      <c r="J499" s="1" t="s">
        <v>11</v>
      </c>
      <c r="K499" s="1" t="s">
        <v>17</v>
      </c>
      <c r="L499" s="1" t="s">
        <v>24</v>
      </c>
    </row>
    <row r="500" spans="1:12" x14ac:dyDescent="0.25">
      <c r="A500" s="5">
        <v>46156</v>
      </c>
      <c r="B500" s="4" t="s">
        <v>23</v>
      </c>
      <c r="C500" s="4">
        <v>2243</v>
      </c>
      <c r="D500" s="3">
        <v>10</v>
      </c>
      <c r="E500" s="3">
        <v>13</v>
      </c>
      <c r="F500" s="3">
        <v>302</v>
      </c>
      <c r="G500" s="2">
        <v>1196.67</v>
      </c>
      <c r="H500" s="1" t="s">
        <v>19</v>
      </c>
      <c r="I500" s="1" t="s">
        <v>13</v>
      </c>
      <c r="J500" s="1" t="s">
        <v>18</v>
      </c>
      <c r="K500" s="1" t="s">
        <v>15</v>
      </c>
      <c r="L500" s="1" t="s">
        <v>24</v>
      </c>
    </row>
    <row r="501" spans="1:12" x14ac:dyDescent="0.25">
      <c r="A501" s="5">
        <v>46157</v>
      </c>
      <c r="B501" s="4" t="s">
        <v>23</v>
      </c>
      <c r="C501" s="4">
        <v>3528</v>
      </c>
      <c r="D501" s="3">
        <v>24</v>
      </c>
      <c r="E501" s="3">
        <v>25</v>
      </c>
      <c r="F501" s="3">
        <v>303</v>
      </c>
      <c r="G501" s="2">
        <v>1230.08</v>
      </c>
      <c r="H501" s="1" t="s">
        <v>12</v>
      </c>
      <c r="I501" s="1" t="s">
        <v>13</v>
      </c>
      <c r="J501" s="1" t="s">
        <v>11</v>
      </c>
      <c r="K501" s="1" t="s">
        <v>1</v>
      </c>
      <c r="L501" s="1" t="s">
        <v>24</v>
      </c>
    </row>
    <row r="502" spans="1:12" x14ac:dyDescent="0.25">
      <c r="A502" s="5">
        <v>46158</v>
      </c>
      <c r="B502" s="4" t="s">
        <v>23</v>
      </c>
      <c r="C502" s="4">
        <v>3375</v>
      </c>
      <c r="D502" s="3">
        <v>22</v>
      </c>
      <c r="E502" s="3">
        <v>37</v>
      </c>
      <c r="F502" s="3">
        <v>194</v>
      </c>
      <c r="G502" s="2">
        <v>715.2</v>
      </c>
      <c r="H502" s="1" t="s">
        <v>14</v>
      </c>
      <c r="I502" s="1" t="s">
        <v>3</v>
      </c>
      <c r="J502" s="1" t="s">
        <v>11</v>
      </c>
      <c r="K502" s="1" t="s">
        <v>10</v>
      </c>
      <c r="L502" s="1" t="s">
        <v>24</v>
      </c>
    </row>
    <row r="503" spans="1:12" x14ac:dyDescent="0.25">
      <c r="A503" s="5">
        <v>46159</v>
      </c>
      <c r="B503" s="4" t="s">
        <v>23</v>
      </c>
      <c r="C503" s="4">
        <v>3004</v>
      </c>
      <c r="D503" s="3">
        <v>32</v>
      </c>
      <c r="E503" s="3">
        <v>56</v>
      </c>
      <c r="F503" s="3">
        <v>231</v>
      </c>
      <c r="G503" s="2">
        <v>1834.87</v>
      </c>
      <c r="H503" s="1" t="s">
        <v>12</v>
      </c>
      <c r="I503" s="1" t="s">
        <v>3</v>
      </c>
      <c r="J503" s="1" t="s">
        <v>11</v>
      </c>
      <c r="K503" s="1" t="s">
        <v>15</v>
      </c>
      <c r="L503" s="1" t="s">
        <v>24</v>
      </c>
    </row>
    <row r="504" spans="1:12" x14ac:dyDescent="0.25">
      <c r="A504" s="5">
        <v>46160</v>
      </c>
      <c r="B504" s="4" t="s">
        <v>23</v>
      </c>
      <c r="C504" s="4">
        <v>3274</v>
      </c>
      <c r="D504" s="3">
        <v>21</v>
      </c>
      <c r="E504" s="3">
        <v>37</v>
      </c>
      <c r="F504" s="3">
        <v>61</v>
      </c>
      <c r="G504" s="2">
        <v>832.47</v>
      </c>
      <c r="H504" s="1" t="s">
        <v>12</v>
      </c>
      <c r="I504" s="1" t="s">
        <v>3</v>
      </c>
      <c r="J504" s="1" t="s">
        <v>18</v>
      </c>
      <c r="K504" s="1" t="s">
        <v>7</v>
      </c>
      <c r="L504" s="1" t="s">
        <v>24</v>
      </c>
    </row>
    <row r="505" spans="1:12" x14ac:dyDescent="0.25">
      <c r="A505" s="5">
        <v>46161</v>
      </c>
      <c r="B505" s="4" t="s">
        <v>23</v>
      </c>
      <c r="C505" s="4">
        <v>2887</v>
      </c>
      <c r="D505" s="3">
        <v>28</v>
      </c>
      <c r="E505" s="3">
        <v>27</v>
      </c>
      <c r="F505" s="3">
        <v>275</v>
      </c>
      <c r="G505" s="2">
        <v>389.98</v>
      </c>
      <c r="H505" s="1" t="s">
        <v>14</v>
      </c>
      <c r="I505" s="1" t="s">
        <v>13</v>
      </c>
      <c r="J505" s="1" t="s">
        <v>11</v>
      </c>
      <c r="K505" s="1" t="s">
        <v>1</v>
      </c>
      <c r="L505" s="1" t="s">
        <v>24</v>
      </c>
    </row>
    <row r="506" spans="1:12" x14ac:dyDescent="0.25">
      <c r="A506" s="5">
        <v>46162</v>
      </c>
      <c r="B506" s="4" t="s">
        <v>23</v>
      </c>
      <c r="C506" s="4">
        <v>4588</v>
      </c>
      <c r="D506" s="3">
        <v>28</v>
      </c>
      <c r="E506" s="3">
        <v>13</v>
      </c>
      <c r="F506" s="3">
        <v>326</v>
      </c>
      <c r="G506" s="2">
        <v>931.32</v>
      </c>
      <c r="H506" s="1" t="s">
        <v>12</v>
      </c>
      <c r="I506" s="1" t="s">
        <v>13</v>
      </c>
      <c r="J506" s="1" t="s">
        <v>11</v>
      </c>
      <c r="K506" s="1" t="s">
        <v>15</v>
      </c>
      <c r="L506" s="1" t="s">
        <v>24</v>
      </c>
    </row>
    <row r="507" spans="1:12" x14ac:dyDescent="0.25">
      <c r="A507" s="5">
        <v>46163</v>
      </c>
      <c r="B507" s="4" t="s">
        <v>23</v>
      </c>
      <c r="C507" s="4">
        <v>2902</v>
      </c>
      <c r="D507" s="3">
        <v>27</v>
      </c>
      <c r="E507" s="3">
        <v>42</v>
      </c>
      <c r="F507" s="3">
        <v>258</v>
      </c>
      <c r="G507" s="2">
        <v>585.29</v>
      </c>
      <c r="H507" s="1" t="s">
        <v>12</v>
      </c>
      <c r="I507" s="1" t="s">
        <v>13</v>
      </c>
      <c r="J507" s="1" t="s">
        <v>11</v>
      </c>
      <c r="K507" s="1" t="s">
        <v>15</v>
      </c>
      <c r="L507" s="1" t="s">
        <v>24</v>
      </c>
    </row>
    <row r="508" spans="1:12" x14ac:dyDescent="0.25">
      <c r="A508" s="5">
        <v>46164</v>
      </c>
      <c r="B508" s="4" t="s">
        <v>23</v>
      </c>
      <c r="C508" s="4">
        <v>1873</v>
      </c>
      <c r="D508" s="3">
        <v>34</v>
      </c>
      <c r="E508" s="3">
        <v>8</v>
      </c>
      <c r="F508" s="3">
        <v>369</v>
      </c>
      <c r="G508" s="2">
        <v>863.97</v>
      </c>
      <c r="H508" s="1" t="s">
        <v>12</v>
      </c>
      <c r="I508" s="1" t="s">
        <v>13</v>
      </c>
      <c r="J508" s="1" t="s">
        <v>18</v>
      </c>
      <c r="K508" s="1" t="s">
        <v>7</v>
      </c>
      <c r="L508" s="1" t="s">
        <v>24</v>
      </c>
    </row>
    <row r="509" spans="1:12" x14ac:dyDescent="0.25">
      <c r="A509" s="5">
        <v>46165</v>
      </c>
      <c r="B509" s="4" t="s">
        <v>23</v>
      </c>
      <c r="C509" s="4">
        <v>3278</v>
      </c>
      <c r="D509" s="3">
        <v>17</v>
      </c>
      <c r="E509" s="3">
        <v>20</v>
      </c>
      <c r="F509" s="3">
        <v>156</v>
      </c>
      <c r="G509" s="2">
        <v>550</v>
      </c>
      <c r="H509" s="1" t="s">
        <v>12</v>
      </c>
      <c r="I509" s="1" t="s">
        <v>13</v>
      </c>
      <c r="J509" s="1" t="s">
        <v>8</v>
      </c>
      <c r="K509" s="1" t="s">
        <v>1</v>
      </c>
      <c r="L509" s="1" t="s">
        <v>9</v>
      </c>
    </row>
    <row r="510" spans="1:12" x14ac:dyDescent="0.25">
      <c r="A510" s="5">
        <v>46166</v>
      </c>
      <c r="B510" s="4" t="s">
        <v>23</v>
      </c>
      <c r="C510" s="4">
        <v>1456</v>
      </c>
      <c r="D510" s="3">
        <v>17</v>
      </c>
      <c r="E510" s="3">
        <v>32</v>
      </c>
      <c r="F510" s="3">
        <v>301</v>
      </c>
      <c r="G510" s="2">
        <v>2005</v>
      </c>
      <c r="H510" s="1" t="s">
        <v>14</v>
      </c>
      <c r="I510" s="1" t="s">
        <v>13</v>
      </c>
      <c r="J510" s="1" t="s">
        <v>2</v>
      </c>
      <c r="K510" s="1" t="s">
        <v>1</v>
      </c>
      <c r="L510" s="1" t="s">
        <v>20</v>
      </c>
    </row>
    <row r="511" spans="1:12" x14ac:dyDescent="0.25">
      <c r="A511" s="5">
        <v>46167</v>
      </c>
      <c r="B511" s="4" t="s">
        <v>23</v>
      </c>
      <c r="C511" s="4">
        <v>2210</v>
      </c>
      <c r="D511" s="3">
        <v>14</v>
      </c>
      <c r="E511" s="3">
        <v>51</v>
      </c>
      <c r="F511" s="3">
        <v>116</v>
      </c>
      <c r="G511" s="2">
        <v>1814</v>
      </c>
      <c r="H511" s="1" t="s">
        <v>12</v>
      </c>
      <c r="I511" s="1" t="s">
        <v>3</v>
      </c>
      <c r="J511" s="1" t="s">
        <v>18</v>
      </c>
      <c r="K511" s="1" t="s">
        <v>17</v>
      </c>
      <c r="L511" s="1" t="s">
        <v>9</v>
      </c>
    </row>
    <row r="512" spans="1:12" x14ac:dyDescent="0.25">
      <c r="A512" s="5">
        <v>46168</v>
      </c>
      <c r="B512" s="4" t="s">
        <v>23</v>
      </c>
      <c r="C512" s="4">
        <v>1661</v>
      </c>
      <c r="D512" s="3">
        <v>27</v>
      </c>
      <c r="E512" s="3">
        <v>14</v>
      </c>
      <c r="F512" s="3">
        <v>427</v>
      </c>
      <c r="G512" s="2">
        <v>1512</v>
      </c>
      <c r="H512" s="1" t="s">
        <v>19</v>
      </c>
      <c r="I512" s="1" t="s">
        <v>13</v>
      </c>
      <c r="J512" s="1" t="s">
        <v>8</v>
      </c>
      <c r="K512" s="1" t="s">
        <v>21</v>
      </c>
      <c r="L512" s="1" t="s">
        <v>9</v>
      </c>
    </row>
    <row r="513" spans="1:12" x14ac:dyDescent="0.25">
      <c r="A513" s="5">
        <v>46169</v>
      </c>
      <c r="B513" s="4" t="s">
        <v>23</v>
      </c>
      <c r="C513" s="4">
        <v>2507</v>
      </c>
      <c r="D513" s="3">
        <v>21</v>
      </c>
      <c r="E513" s="3">
        <v>22</v>
      </c>
      <c r="F513" s="3">
        <v>327</v>
      </c>
      <c r="G513" s="2">
        <v>286</v>
      </c>
      <c r="H513" s="1" t="s">
        <v>19</v>
      </c>
      <c r="I513" s="1" t="s">
        <v>3</v>
      </c>
      <c r="J513" s="1" t="s">
        <v>18</v>
      </c>
      <c r="K513" s="1" t="s">
        <v>15</v>
      </c>
      <c r="L513" s="1" t="s">
        <v>16</v>
      </c>
    </row>
    <row r="514" spans="1:12" x14ac:dyDescent="0.25">
      <c r="A514" s="5">
        <v>46170</v>
      </c>
      <c r="B514" s="4" t="s">
        <v>23</v>
      </c>
      <c r="C514" s="4">
        <v>2778</v>
      </c>
      <c r="D514" s="3">
        <v>9</v>
      </c>
      <c r="E514" s="3">
        <v>3</v>
      </c>
      <c r="F514" s="3">
        <v>197</v>
      </c>
      <c r="G514" s="2">
        <v>1574</v>
      </c>
      <c r="H514" s="1" t="s">
        <v>19</v>
      </c>
      <c r="I514" s="1" t="s">
        <v>3</v>
      </c>
      <c r="J514" s="1" t="s">
        <v>8</v>
      </c>
      <c r="K514" s="1" t="s">
        <v>7</v>
      </c>
      <c r="L514" s="1" t="s">
        <v>20</v>
      </c>
    </row>
    <row r="515" spans="1:12" x14ac:dyDescent="0.25">
      <c r="A515" s="5">
        <v>46171</v>
      </c>
      <c r="B515" s="4" t="s">
        <v>23</v>
      </c>
      <c r="C515" s="4">
        <v>3251</v>
      </c>
      <c r="D515" s="3">
        <v>41</v>
      </c>
      <c r="E515" s="3">
        <v>14</v>
      </c>
      <c r="F515" s="3">
        <v>251</v>
      </c>
      <c r="G515" s="2">
        <v>1225</v>
      </c>
      <c r="H515" s="1" t="s">
        <v>4</v>
      </c>
      <c r="I515" s="1" t="s">
        <v>3</v>
      </c>
      <c r="J515" s="1" t="s">
        <v>8</v>
      </c>
      <c r="K515" s="1" t="s">
        <v>15</v>
      </c>
      <c r="L515" s="1" t="s">
        <v>9</v>
      </c>
    </row>
    <row r="516" spans="1:12" x14ac:dyDescent="0.25">
      <c r="A516" s="5">
        <v>46172</v>
      </c>
      <c r="B516" s="4" t="s">
        <v>23</v>
      </c>
      <c r="C516" s="4">
        <v>2613</v>
      </c>
      <c r="D516" s="3">
        <v>10</v>
      </c>
      <c r="E516" s="3">
        <v>24</v>
      </c>
      <c r="F516" s="3">
        <v>200</v>
      </c>
      <c r="G516" s="2">
        <v>75</v>
      </c>
      <c r="H516" s="1" t="s">
        <v>12</v>
      </c>
      <c r="I516" s="1" t="s">
        <v>13</v>
      </c>
      <c r="J516" s="1" t="s">
        <v>2</v>
      </c>
      <c r="K516" s="1" t="s">
        <v>15</v>
      </c>
      <c r="L516" s="1" t="s">
        <v>6</v>
      </c>
    </row>
    <row r="517" spans="1:12" x14ac:dyDescent="0.25">
      <c r="A517" s="5">
        <v>46173</v>
      </c>
      <c r="B517" s="4" t="s">
        <v>23</v>
      </c>
      <c r="C517" s="4">
        <v>4987</v>
      </c>
      <c r="D517" s="3">
        <v>26</v>
      </c>
      <c r="E517" s="3">
        <v>39</v>
      </c>
      <c r="F517" s="3">
        <v>354</v>
      </c>
      <c r="G517" s="2">
        <v>2174</v>
      </c>
      <c r="H517" s="1" t="s">
        <v>19</v>
      </c>
      <c r="I517" s="1" t="s">
        <v>13</v>
      </c>
      <c r="J517" s="1" t="s">
        <v>11</v>
      </c>
      <c r="K517" s="1" t="s">
        <v>15</v>
      </c>
      <c r="L517" s="1" t="s">
        <v>0</v>
      </c>
    </row>
    <row r="518" spans="1:12" x14ac:dyDescent="0.25">
      <c r="A518" s="5">
        <v>46174</v>
      </c>
      <c r="B518" s="4" t="s">
        <v>22</v>
      </c>
      <c r="C518" s="4">
        <v>2635.74</v>
      </c>
      <c r="D518" s="3">
        <v>33</v>
      </c>
      <c r="E518" s="3">
        <v>42</v>
      </c>
      <c r="F518" s="3">
        <v>247</v>
      </c>
      <c r="G518" s="2">
        <v>2396</v>
      </c>
      <c r="H518" s="1" t="s">
        <v>14</v>
      </c>
      <c r="I518" s="1" t="s">
        <v>3</v>
      </c>
      <c r="J518" s="1" t="s">
        <v>8</v>
      </c>
      <c r="K518" s="1" t="s">
        <v>1</v>
      </c>
      <c r="L518" s="1" t="s">
        <v>20</v>
      </c>
    </row>
    <row r="519" spans="1:12" x14ac:dyDescent="0.25">
      <c r="A519" s="5">
        <v>46175</v>
      </c>
      <c r="B519" s="4" t="s">
        <v>22</v>
      </c>
      <c r="C519" s="4">
        <v>4498.2</v>
      </c>
      <c r="D519" s="3">
        <v>20</v>
      </c>
      <c r="E519" s="3">
        <v>-5</v>
      </c>
      <c r="F519" s="3">
        <v>265</v>
      </c>
      <c r="G519" s="2">
        <v>1374</v>
      </c>
      <c r="H519" s="1" t="s">
        <v>12</v>
      </c>
      <c r="I519" s="1" t="s">
        <v>3</v>
      </c>
      <c r="J519" s="1" t="s">
        <v>8</v>
      </c>
      <c r="K519" s="1" t="s">
        <v>21</v>
      </c>
      <c r="L519" s="1" t="s">
        <v>0</v>
      </c>
    </row>
    <row r="520" spans="1:12" x14ac:dyDescent="0.25">
      <c r="A520" s="5">
        <v>46176</v>
      </c>
      <c r="B520" s="4" t="s">
        <v>22</v>
      </c>
      <c r="C520" s="4">
        <v>3381.3</v>
      </c>
      <c r="D520" s="3">
        <v>7</v>
      </c>
      <c r="E520" s="3">
        <v>7</v>
      </c>
      <c r="F520" s="3">
        <v>75</v>
      </c>
      <c r="G520" s="2">
        <v>935</v>
      </c>
      <c r="H520" s="1" t="s">
        <v>12</v>
      </c>
      <c r="I520" s="1" t="s">
        <v>13</v>
      </c>
      <c r="J520" s="1" t="s">
        <v>2</v>
      </c>
      <c r="K520" s="1" t="s">
        <v>10</v>
      </c>
      <c r="L520" s="1" t="s">
        <v>6</v>
      </c>
    </row>
    <row r="521" spans="1:12" x14ac:dyDescent="0.25">
      <c r="A521" s="5">
        <v>46177</v>
      </c>
      <c r="B521" s="4" t="s">
        <v>22</v>
      </c>
      <c r="C521" s="4">
        <v>4439.7</v>
      </c>
      <c r="D521" s="3">
        <v>25</v>
      </c>
      <c r="E521" s="3">
        <v>57</v>
      </c>
      <c r="F521" s="3">
        <v>182</v>
      </c>
      <c r="G521" s="2">
        <v>657</v>
      </c>
      <c r="H521" s="1" t="s">
        <v>12</v>
      </c>
      <c r="I521" s="1" t="s">
        <v>13</v>
      </c>
      <c r="J521" s="1" t="s">
        <v>8</v>
      </c>
      <c r="K521" s="1" t="s">
        <v>7</v>
      </c>
      <c r="L521" s="1" t="s">
        <v>16</v>
      </c>
    </row>
    <row r="522" spans="1:12" x14ac:dyDescent="0.25">
      <c r="A522" s="5">
        <v>46178</v>
      </c>
      <c r="B522" s="4" t="s">
        <v>22</v>
      </c>
      <c r="C522" s="4">
        <v>1088.0999999999999</v>
      </c>
      <c r="D522" s="3">
        <v>11</v>
      </c>
      <c r="E522" s="3">
        <v>60</v>
      </c>
      <c r="F522" s="3">
        <v>321</v>
      </c>
      <c r="G522" s="2">
        <v>1473</v>
      </c>
      <c r="H522" s="1" t="s">
        <v>14</v>
      </c>
      <c r="I522" s="1" t="s">
        <v>3</v>
      </c>
      <c r="J522" s="1" t="s">
        <v>18</v>
      </c>
      <c r="K522" s="1" t="s">
        <v>15</v>
      </c>
      <c r="L522" s="1" t="s">
        <v>0</v>
      </c>
    </row>
    <row r="523" spans="1:12" x14ac:dyDescent="0.25">
      <c r="A523" s="5">
        <v>46179</v>
      </c>
      <c r="B523" s="4" t="s">
        <v>22</v>
      </c>
      <c r="C523" s="4">
        <v>3338.1</v>
      </c>
      <c r="D523" s="3">
        <v>38</v>
      </c>
      <c r="E523" s="3">
        <v>38</v>
      </c>
      <c r="F523" s="3">
        <v>241</v>
      </c>
      <c r="G523" s="2">
        <v>1240</v>
      </c>
      <c r="H523" s="1" t="s">
        <v>4</v>
      </c>
      <c r="I523" s="1" t="s">
        <v>3</v>
      </c>
      <c r="J523" s="1" t="s">
        <v>18</v>
      </c>
      <c r="K523" s="1" t="s">
        <v>10</v>
      </c>
      <c r="L523" s="1" t="s">
        <v>20</v>
      </c>
    </row>
    <row r="524" spans="1:12" x14ac:dyDescent="0.25">
      <c r="A524" s="5">
        <v>46180</v>
      </c>
      <c r="B524" s="4" t="s">
        <v>22</v>
      </c>
      <c r="C524" s="4">
        <v>2993.4</v>
      </c>
      <c r="D524" s="3">
        <v>42</v>
      </c>
      <c r="E524" s="3">
        <v>12</v>
      </c>
      <c r="F524" s="3">
        <v>345</v>
      </c>
      <c r="G524" s="2">
        <v>1855</v>
      </c>
      <c r="H524" s="1" t="s">
        <v>4</v>
      </c>
      <c r="I524" s="1" t="s">
        <v>13</v>
      </c>
      <c r="J524" s="1" t="s">
        <v>18</v>
      </c>
      <c r="K524" s="1" t="s">
        <v>7</v>
      </c>
      <c r="L524" s="1" t="s">
        <v>6</v>
      </c>
    </row>
    <row r="525" spans="1:12" x14ac:dyDescent="0.25">
      <c r="A525" s="5">
        <v>46181</v>
      </c>
      <c r="B525" s="4" t="s">
        <v>22</v>
      </c>
      <c r="C525" s="4">
        <v>3133.8</v>
      </c>
      <c r="D525" s="3">
        <v>34</v>
      </c>
      <c r="E525" s="3">
        <v>0</v>
      </c>
      <c r="F525" s="3">
        <v>239</v>
      </c>
      <c r="G525" s="2">
        <v>1896</v>
      </c>
      <c r="H525" s="1" t="s">
        <v>14</v>
      </c>
      <c r="I525" s="1" t="s">
        <v>3</v>
      </c>
      <c r="J525" s="1" t="s">
        <v>8</v>
      </c>
      <c r="K525" s="1" t="s">
        <v>10</v>
      </c>
      <c r="L525" s="1" t="s">
        <v>0</v>
      </c>
    </row>
    <row r="526" spans="1:12" x14ac:dyDescent="0.25">
      <c r="A526" s="5">
        <v>46182</v>
      </c>
      <c r="B526" s="4" t="s">
        <v>22</v>
      </c>
      <c r="C526" s="4">
        <v>3788.1</v>
      </c>
      <c r="D526" s="3">
        <v>6</v>
      </c>
      <c r="E526" s="3">
        <v>14</v>
      </c>
      <c r="F526" s="3">
        <v>56</v>
      </c>
      <c r="G526" s="2">
        <v>2463</v>
      </c>
      <c r="H526" s="1" t="s">
        <v>4</v>
      </c>
      <c r="I526" s="1" t="s">
        <v>3</v>
      </c>
      <c r="J526" s="1" t="s">
        <v>2</v>
      </c>
      <c r="K526" s="1" t="s">
        <v>21</v>
      </c>
      <c r="L526" s="1" t="s">
        <v>16</v>
      </c>
    </row>
    <row r="527" spans="1:12" x14ac:dyDescent="0.25">
      <c r="A527" s="5">
        <v>46183</v>
      </c>
      <c r="B527" s="4" t="s">
        <v>22</v>
      </c>
      <c r="C527" s="4">
        <v>3388.5</v>
      </c>
      <c r="D527" s="3">
        <v>12</v>
      </c>
      <c r="E527" s="3">
        <v>-1</v>
      </c>
      <c r="F527" s="3">
        <v>265</v>
      </c>
      <c r="G527" s="2">
        <v>730</v>
      </c>
      <c r="H527" s="1" t="s">
        <v>19</v>
      </c>
      <c r="I527" s="1" t="s">
        <v>3</v>
      </c>
      <c r="J527" s="1" t="s">
        <v>2</v>
      </c>
      <c r="K527" s="1" t="s">
        <v>1</v>
      </c>
      <c r="L527" s="1" t="s">
        <v>20</v>
      </c>
    </row>
    <row r="528" spans="1:12" x14ac:dyDescent="0.25">
      <c r="A528" s="5">
        <v>46184</v>
      </c>
      <c r="B528" s="4" t="s">
        <v>22</v>
      </c>
      <c r="C528" s="4">
        <v>4075.2</v>
      </c>
      <c r="D528" s="3">
        <v>13</v>
      </c>
      <c r="E528" s="3">
        <v>7</v>
      </c>
      <c r="F528" s="3">
        <v>182</v>
      </c>
      <c r="G528" s="2">
        <v>1515</v>
      </c>
      <c r="H528" s="1" t="s">
        <v>19</v>
      </c>
      <c r="I528" s="1" t="s">
        <v>13</v>
      </c>
      <c r="J528" s="1" t="s">
        <v>8</v>
      </c>
      <c r="K528" s="1" t="s">
        <v>21</v>
      </c>
      <c r="L528" s="1" t="s">
        <v>20</v>
      </c>
    </row>
    <row r="529" spans="1:12" x14ac:dyDescent="0.25">
      <c r="A529" s="5">
        <v>46185</v>
      </c>
      <c r="B529" s="4" t="s">
        <v>22</v>
      </c>
      <c r="C529" s="4">
        <v>2243.6999999999998</v>
      </c>
      <c r="D529" s="3">
        <v>26</v>
      </c>
      <c r="E529" s="3">
        <v>39</v>
      </c>
      <c r="F529" s="3">
        <v>34</v>
      </c>
      <c r="G529" s="2">
        <v>1320</v>
      </c>
      <c r="H529" s="1" t="s">
        <v>14</v>
      </c>
      <c r="I529" s="1" t="s">
        <v>3</v>
      </c>
      <c r="J529" s="1" t="s">
        <v>18</v>
      </c>
      <c r="K529" s="1" t="s">
        <v>7</v>
      </c>
      <c r="L529" s="1" t="s">
        <v>0</v>
      </c>
    </row>
    <row r="530" spans="1:12" x14ac:dyDescent="0.25">
      <c r="A530" s="5">
        <v>46186</v>
      </c>
      <c r="B530" s="4" t="s">
        <v>22</v>
      </c>
      <c r="C530" s="4">
        <v>3190.5</v>
      </c>
      <c r="D530" s="3">
        <v>26</v>
      </c>
      <c r="E530" s="3">
        <v>19</v>
      </c>
      <c r="F530" s="3">
        <v>434</v>
      </c>
      <c r="G530" s="2">
        <v>1464</v>
      </c>
      <c r="H530" s="1" t="s">
        <v>12</v>
      </c>
      <c r="I530" s="1" t="s">
        <v>3</v>
      </c>
      <c r="J530" s="1" t="s">
        <v>2</v>
      </c>
      <c r="K530" s="1" t="s">
        <v>15</v>
      </c>
      <c r="L530" s="1" t="s">
        <v>0</v>
      </c>
    </row>
    <row r="531" spans="1:12" x14ac:dyDescent="0.25">
      <c r="A531" s="5">
        <v>46187</v>
      </c>
      <c r="B531" s="4" t="s">
        <v>22</v>
      </c>
      <c r="C531" s="4">
        <v>1417.5</v>
      </c>
      <c r="D531" s="3">
        <v>17</v>
      </c>
      <c r="E531" s="3">
        <v>38</v>
      </c>
      <c r="F531" s="3">
        <v>34</v>
      </c>
      <c r="G531" s="2">
        <v>178</v>
      </c>
      <c r="H531" s="1" t="s">
        <v>14</v>
      </c>
      <c r="I531" s="1" t="s">
        <v>3</v>
      </c>
      <c r="J531" s="1" t="s">
        <v>18</v>
      </c>
      <c r="K531" s="1" t="s">
        <v>1</v>
      </c>
      <c r="L531" s="1" t="s">
        <v>16</v>
      </c>
    </row>
    <row r="532" spans="1:12" x14ac:dyDescent="0.25">
      <c r="A532" s="5">
        <v>46188</v>
      </c>
      <c r="B532" s="4" t="s">
        <v>22</v>
      </c>
      <c r="C532" s="4">
        <v>3451.5</v>
      </c>
      <c r="D532" s="3">
        <v>38</v>
      </c>
      <c r="E532" s="3">
        <v>46</v>
      </c>
      <c r="F532" s="3">
        <v>65</v>
      </c>
      <c r="G532" s="2">
        <v>1105</v>
      </c>
      <c r="H532" s="1" t="s">
        <v>12</v>
      </c>
      <c r="I532" s="1" t="s">
        <v>3</v>
      </c>
      <c r="J532" s="1" t="s">
        <v>2</v>
      </c>
      <c r="K532" s="1" t="s">
        <v>7</v>
      </c>
      <c r="L532" s="1" t="s">
        <v>0</v>
      </c>
    </row>
    <row r="533" spans="1:12" x14ac:dyDescent="0.25">
      <c r="A533" s="5">
        <v>46189</v>
      </c>
      <c r="B533" s="4" t="s">
        <v>22</v>
      </c>
      <c r="C533" s="4">
        <v>3949.2</v>
      </c>
      <c r="D533" s="3">
        <v>17</v>
      </c>
      <c r="E533" s="3">
        <v>16</v>
      </c>
      <c r="F533" s="3">
        <v>243</v>
      </c>
      <c r="G533" s="2">
        <v>1624</v>
      </c>
      <c r="H533" s="1" t="s">
        <v>4</v>
      </c>
      <c r="I533" s="1" t="s">
        <v>13</v>
      </c>
      <c r="J533" s="1" t="s">
        <v>11</v>
      </c>
      <c r="K533" s="1" t="s">
        <v>17</v>
      </c>
      <c r="L533" s="1" t="s">
        <v>16</v>
      </c>
    </row>
    <row r="534" spans="1:12" x14ac:dyDescent="0.25">
      <c r="A534" s="5">
        <v>46190</v>
      </c>
      <c r="B534" s="4" t="s">
        <v>22</v>
      </c>
      <c r="C534" s="4">
        <v>3115.8</v>
      </c>
      <c r="D534" s="3">
        <v>33</v>
      </c>
      <c r="E534" s="3">
        <v>55</v>
      </c>
      <c r="F534" s="3">
        <v>89</v>
      </c>
      <c r="G534" s="2">
        <v>1609</v>
      </c>
      <c r="H534" s="1" t="s">
        <v>12</v>
      </c>
      <c r="I534" s="1" t="s">
        <v>13</v>
      </c>
      <c r="J534" s="1" t="s">
        <v>8</v>
      </c>
      <c r="K534" s="1" t="s">
        <v>21</v>
      </c>
      <c r="L534" s="1" t="s">
        <v>20</v>
      </c>
    </row>
    <row r="535" spans="1:12" x14ac:dyDescent="0.25">
      <c r="A535" s="5">
        <v>46191</v>
      </c>
      <c r="B535" s="4" t="s">
        <v>22</v>
      </c>
      <c r="C535" s="4">
        <v>2084.4</v>
      </c>
      <c r="D535" s="3">
        <v>11</v>
      </c>
      <c r="E535" s="3">
        <v>4</v>
      </c>
      <c r="F535" s="3">
        <v>269</v>
      </c>
      <c r="G535" s="2">
        <v>2468</v>
      </c>
      <c r="H535" s="1" t="s">
        <v>12</v>
      </c>
      <c r="I535" s="1" t="s">
        <v>13</v>
      </c>
      <c r="J535" s="1" t="s">
        <v>2</v>
      </c>
      <c r="K535" s="1" t="s">
        <v>1</v>
      </c>
      <c r="L535" s="1" t="s">
        <v>0</v>
      </c>
    </row>
    <row r="536" spans="1:12" x14ac:dyDescent="0.25">
      <c r="A536" s="5">
        <v>46192</v>
      </c>
      <c r="B536" s="4" t="s">
        <v>22</v>
      </c>
      <c r="C536" s="4">
        <v>3618</v>
      </c>
      <c r="D536" s="3">
        <v>35</v>
      </c>
      <c r="E536" s="3">
        <v>46</v>
      </c>
      <c r="F536" s="3">
        <v>232</v>
      </c>
      <c r="G536" s="2">
        <v>2377</v>
      </c>
      <c r="H536" s="1" t="s">
        <v>19</v>
      </c>
      <c r="I536" s="1" t="s">
        <v>3</v>
      </c>
      <c r="J536" s="1" t="s">
        <v>8</v>
      </c>
      <c r="K536" s="1" t="s">
        <v>1</v>
      </c>
      <c r="L536" s="1" t="s">
        <v>0</v>
      </c>
    </row>
    <row r="537" spans="1:12" x14ac:dyDescent="0.25">
      <c r="A537" s="5">
        <v>46193</v>
      </c>
      <c r="B537" s="4" t="s">
        <v>22</v>
      </c>
      <c r="C537" s="4">
        <v>2705.4</v>
      </c>
      <c r="D537" s="3">
        <v>20</v>
      </c>
      <c r="E537" s="3">
        <v>20</v>
      </c>
      <c r="F537" s="3">
        <v>123</v>
      </c>
      <c r="G537" s="2">
        <v>574</v>
      </c>
      <c r="H537" s="1" t="s">
        <v>12</v>
      </c>
      <c r="I537" s="1" t="s">
        <v>3</v>
      </c>
      <c r="J537" s="1" t="s">
        <v>11</v>
      </c>
      <c r="K537" s="1" t="s">
        <v>10</v>
      </c>
      <c r="L537" s="1" t="s">
        <v>6</v>
      </c>
    </row>
    <row r="538" spans="1:12" x14ac:dyDescent="0.25">
      <c r="A538" s="5">
        <v>46194</v>
      </c>
      <c r="B538" s="4" t="s">
        <v>22</v>
      </c>
      <c r="C538" s="4">
        <v>1989</v>
      </c>
      <c r="D538" s="3">
        <v>31</v>
      </c>
      <c r="E538" s="3">
        <v>0</v>
      </c>
      <c r="F538" s="3">
        <v>155</v>
      </c>
      <c r="G538" s="2">
        <v>1046</v>
      </c>
      <c r="H538" s="1" t="s">
        <v>12</v>
      </c>
      <c r="I538" s="1" t="s">
        <v>13</v>
      </c>
      <c r="J538" s="1" t="s">
        <v>2</v>
      </c>
      <c r="K538" s="1" t="s">
        <v>15</v>
      </c>
      <c r="L538" s="1" t="s">
        <v>20</v>
      </c>
    </row>
    <row r="539" spans="1:12" x14ac:dyDescent="0.25">
      <c r="A539" s="5">
        <v>46195</v>
      </c>
      <c r="B539" s="4" t="s">
        <v>22</v>
      </c>
      <c r="C539" s="4">
        <v>1755.9</v>
      </c>
      <c r="D539" s="3">
        <v>11</v>
      </c>
      <c r="E539" s="3">
        <v>26</v>
      </c>
      <c r="F539" s="3">
        <v>88</v>
      </c>
      <c r="G539" s="2">
        <v>548</v>
      </c>
      <c r="H539" s="1" t="s">
        <v>14</v>
      </c>
      <c r="I539" s="1" t="s">
        <v>3</v>
      </c>
      <c r="J539" s="1" t="s">
        <v>18</v>
      </c>
      <c r="K539" s="1" t="s">
        <v>1</v>
      </c>
      <c r="L539" s="1" t="s">
        <v>16</v>
      </c>
    </row>
    <row r="540" spans="1:12" x14ac:dyDescent="0.25">
      <c r="A540" s="5">
        <v>46196</v>
      </c>
      <c r="B540" s="4" t="s">
        <v>22</v>
      </c>
      <c r="C540" s="4">
        <v>2619</v>
      </c>
      <c r="D540" s="3">
        <v>37</v>
      </c>
      <c r="E540" s="3">
        <v>58</v>
      </c>
      <c r="F540" s="3">
        <v>326</v>
      </c>
      <c r="G540" s="2">
        <v>68</v>
      </c>
      <c r="H540" s="1" t="s">
        <v>19</v>
      </c>
      <c r="I540" s="1" t="s">
        <v>3</v>
      </c>
      <c r="J540" s="1" t="s">
        <v>2</v>
      </c>
      <c r="K540" s="1" t="s">
        <v>7</v>
      </c>
      <c r="L540" s="1" t="s">
        <v>16</v>
      </c>
    </row>
    <row r="541" spans="1:12" x14ac:dyDescent="0.25">
      <c r="A541" s="5">
        <v>46197</v>
      </c>
      <c r="B541" s="4" t="s">
        <v>22</v>
      </c>
      <c r="C541" s="4">
        <v>1655.1</v>
      </c>
      <c r="D541" s="3">
        <v>32</v>
      </c>
      <c r="E541" s="3">
        <v>-5</v>
      </c>
      <c r="F541" s="3">
        <v>303</v>
      </c>
      <c r="G541" s="2">
        <v>590</v>
      </c>
      <c r="H541" s="1" t="s">
        <v>12</v>
      </c>
      <c r="I541" s="1" t="s">
        <v>3</v>
      </c>
      <c r="J541" s="1" t="s">
        <v>2</v>
      </c>
      <c r="K541" s="1" t="s">
        <v>15</v>
      </c>
      <c r="L541" s="1" t="s">
        <v>0</v>
      </c>
    </row>
    <row r="542" spans="1:12" x14ac:dyDescent="0.25">
      <c r="A542" s="5">
        <v>46198</v>
      </c>
      <c r="B542" s="4" t="s">
        <v>22</v>
      </c>
      <c r="C542" s="4">
        <v>877.5</v>
      </c>
      <c r="D542" s="3">
        <v>30</v>
      </c>
      <c r="E542" s="3">
        <v>34</v>
      </c>
      <c r="F542" s="3">
        <v>310</v>
      </c>
      <c r="G542" s="2">
        <v>2497</v>
      </c>
      <c r="H542" s="1" t="s">
        <v>14</v>
      </c>
      <c r="I542" s="1" t="s">
        <v>3</v>
      </c>
      <c r="J542" s="1" t="s">
        <v>2</v>
      </c>
      <c r="K542" s="1" t="s">
        <v>17</v>
      </c>
      <c r="L542" s="1" t="s">
        <v>16</v>
      </c>
    </row>
    <row r="543" spans="1:12" x14ac:dyDescent="0.25">
      <c r="A543" s="5">
        <v>46199</v>
      </c>
      <c r="B543" s="4" t="s">
        <v>22</v>
      </c>
      <c r="C543" s="4">
        <v>3184.2</v>
      </c>
      <c r="D543" s="3">
        <v>25</v>
      </c>
      <c r="E543" s="3">
        <v>7</v>
      </c>
      <c r="F543" s="3">
        <v>439</v>
      </c>
      <c r="G543" s="2">
        <v>300</v>
      </c>
      <c r="H543" s="1" t="s">
        <v>19</v>
      </c>
      <c r="I543" s="1" t="s">
        <v>3</v>
      </c>
      <c r="J543" s="1" t="s">
        <v>18</v>
      </c>
      <c r="K543" s="1" t="s">
        <v>1</v>
      </c>
      <c r="L543" s="1" t="s">
        <v>20</v>
      </c>
    </row>
    <row r="544" spans="1:12" x14ac:dyDescent="0.25">
      <c r="A544" s="5">
        <v>46200</v>
      </c>
      <c r="B544" s="4" t="s">
        <v>22</v>
      </c>
      <c r="C544" s="4">
        <v>1772.1</v>
      </c>
      <c r="D544" s="3">
        <v>41</v>
      </c>
      <c r="E544" s="3">
        <v>35</v>
      </c>
      <c r="F544" s="3">
        <v>172</v>
      </c>
      <c r="G544" s="2">
        <v>1044</v>
      </c>
      <c r="H544" s="1" t="s">
        <v>19</v>
      </c>
      <c r="I544" s="1" t="s">
        <v>13</v>
      </c>
      <c r="J544" s="1" t="s">
        <v>11</v>
      </c>
      <c r="K544" s="1" t="s">
        <v>10</v>
      </c>
      <c r="L544" s="1" t="s">
        <v>0</v>
      </c>
    </row>
    <row r="545" spans="1:12" x14ac:dyDescent="0.25">
      <c r="A545" s="5">
        <v>46201</v>
      </c>
      <c r="B545" s="4" t="s">
        <v>22</v>
      </c>
      <c r="C545" s="4">
        <v>3659.4</v>
      </c>
      <c r="D545" s="3">
        <v>17</v>
      </c>
      <c r="E545" s="3">
        <v>28</v>
      </c>
      <c r="F545" s="3">
        <v>274</v>
      </c>
      <c r="G545" s="2">
        <v>1725</v>
      </c>
      <c r="H545" s="1" t="s">
        <v>12</v>
      </c>
      <c r="I545" s="1" t="s">
        <v>3</v>
      </c>
      <c r="J545" s="1" t="s">
        <v>2</v>
      </c>
      <c r="K545" s="1" t="s">
        <v>15</v>
      </c>
      <c r="L545" s="1" t="s">
        <v>16</v>
      </c>
    </row>
    <row r="546" spans="1:12" x14ac:dyDescent="0.25">
      <c r="A546" s="5">
        <v>46202</v>
      </c>
      <c r="B546" s="4" t="s">
        <v>22</v>
      </c>
      <c r="C546" s="4">
        <v>3334.5</v>
      </c>
      <c r="D546" s="3">
        <v>9</v>
      </c>
      <c r="E546" s="3">
        <v>-1</v>
      </c>
      <c r="F546" s="3">
        <v>306</v>
      </c>
      <c r="G546" s="2">
        <v>1128</v>
      </c>
      <c r="H546" s="1" t="s">
        <v>4</v>
      </c>
      <c r="I546" s="1" t="s">
        <v>3</v>
      </c>
      <c r="J546" s="1" t="s">
        <v>2</v>
      </c>
      <c r="K546" s="1" t="s">
        <v>7</v>
      </c>
      <c r="L546" s="1" t="s">
        <v>9</v>
      </c>
    </row>
    <row r="547" spans="1:12" x14ac:dyDescent="0.25">
      <c r="A547" s="5">
        <v>46203</v>
      </c>
      <c r="B547" s="4" t="s">
        <v>22</v>
      </c>
      <c r="C547" s="4">
        <v>2818.8</v>
      </c>
      <c r="D547" s="3">
        <v>37</v>
      </c>
      <c r="E547" s="3">
        <v>25</v>
      </c>
      <c r="F547" s="3">
        <v>311</v>
      </c>
      <c r="G547" s="2">
        <v>1573</v>
      </c>
      <c r="H547" s="1" t="s">
        <v>4</v>
      </c>
      <c r="I547" s="1" t="s">
        <v>3</v>
      </c>
      <c r="J547" s="1" t="s">
        <v>2</v>
      </c>
      <c r="K547" s="1" t="s">
        <v>21</v>
      </c>
      <c r="L547" s="1" t="s">
        <v>0</v>
      </c>
    </row>
    <row r="548" spans="1:12" x14ac:dyDescent="0.25">
      <c r="A548" s="5">
        <v>46204</v>
      </c>
      <c r="B548" s="4" t="s">
        <v>5</v>
      </c>
      <c r="C548" s="4">
        <v>1499.4</v>
      </c>
      <c r="D548" s="3">
        <v>21</v>
      </c>
      <c r="E548" s="3">
        <v>22</v>
      </c>
      <c r="F548" s="3">
        <v>76</v>
      </c>
      <c r="G548" s="2">
        <v>1994</v>
      </c>
      <c r="H548" s="1" t="s">
        <v>12</v>
      </c>
      <c r="I548" s="1" t="s">
        <v>3</v>
      </c>
      <c r="J548" s="1" t="s">
        <v>8</v>
      </c>
      <c r="K548" s="1" t="s">
        <v>21</v>
      </c>
      <c r="L548" s="1" t="s">
        <v>16</v>
      </c>
    </row>
    <row r="549" spans="1:12" x14ac:dyDescent="0.25">
      <c r="A549" s="5">
        <v>46205</v>
      </c>
      <c r="B549" s="4" t="s">
        <v>5</v>
      </c>
      <c r="C549" s="4">
        <v>3470.4</v>
      </c>
      <c r="D549" s="3">
        <v>15</v>
      </c>
      <c r="E549" s="3">
        <v>43</v>
      </c>
      <c r="F549" s="3">
        <v>99</v>
      </c>
      <c r="G549" s="2">
        <v>2108</v>
      </c>
      <c r="H549" s="1" t="s">
        <v>12</v>
      </c>
      <c r="I549" s="1" t="s">
        <v>3</v>
      </c>
      <c r="J549" s="1" t="s">
        <v>2</v>
      </c>
      <c r="K549" s="1" t="s">
        <v>15</v>
      </c>
      <c r="L549" s="1" t="s">
        <v>0</v>
      </c>
    </row>
    <row r="550" spans="1:12" x14ac:dyDescent="0.25">
      <c r="A550" s="5">
        <v>46206</v>
      </c>
      <c r="B550" s="4" t="s">
        <v>5</v>
      </c>
      <c r="C550" s="4">
        <v>2826.9</v>
      </c>
      <c r="D550" s="3">
        <v>12</v>
      </c>
      <c r="E550" s="3">
        <v>40</v>
      </c>
      <c r="F550" s="3">
        <v>244</v>
      </c>
      <c r="G550" s="2">
        <v>1588</v>
      </c>
      <c r="H550" s="1" t="s">
        <v>4</v>
      </c>
      <c r="I550" s="1" t="s">
        <v>13</v>
      </c>
      <c r="J550" s="1" t="s">
        <v>8</v>
      </c>
      <c r="K550" s="1" t="s">
        <v>21</v>
      </c>
      <c r="L550" s="1" t="s">
        <v>20</v>
      </c>
    </row>
    <row r="551" spans="1:12" x14ac:dyDescent="0.25">
      <c r="A551" s="5">
        <v>46207</v>
      </c>
      <c r="B551" s="4" t="s">
        <v>5</v>
      </c>
      <c r="C551" s="4">
        <v>3031.2</v>
      </c>
      <c r="D551" s="3">
        <v>19</v>
      </c>
      <c r="E551" s="3">
        <v>28</v>
      </c>
      <c r="F551" s="3">
        <v>441</v>
      </c>
      <c r="G551" s="2">
        <v>1146</v>
      </c>
      <c r="H551" s="1" t="s">
        <v>19</v>
      </c>
      <c r="I551" s="1" t="s">
        <v>3</v>
      </c>
      <c r="J551" s="1" t="s">
        <v>18</v>
      </c>
      <c r="K551" s="1" t="s">
        <v>7</v>
      </c>
      <c r="L551" s="1" t="s">
        <v>9</v>
      </c>
    </row>
    <row r="552" spans="1:12" x14ac:dyDescent="0.25">
      <c r="A552" s="5">
        <v>46208</v>
      </c>
      <c r="B552" s="4" t="s">
        <v>5</v>
      </c>
      <c r="C552" s="4">
        <v>1468.8</v>
      </c>
      <c r="D552" s="3">
        <v>5</v>
      </c>
      <c r="E552" s="3">
        <v>29</v>
      </c>
      <c r="F552" s="3">
        <v>134</v>
      </c>
      <c r="G552" s="2">
        <v>1999</v>
      </c>
      <c r="H552" s="1" t="s">
        <v>4</v>
      </c>
      <c r="I552" s="1" t="s">
        <v>3</v>
      </c>
      <c r="J552" s="1" t="s">
        <v>18</v>
      </c>
      <c r="K552" s="1" t="s">
        <v>1</v>
      </c>
      <c r="L552" s="1" t="s">
        <v>6</v>
      </c>
    </row>
    <row r="553" spans="1:12" x14ac:dyDescent="0.25">
      <c r="A553" s="5">
        <v>46209</v>
      </c>
      <c r="B553" s="4" t="s">
        <v>5</v>
      </c>
      <c r="C553" s="4">
        <v>861.3</v>
      </c>
      <c r="D553" s="3">
        <v>34</v>
      </c>
      <c r="E553" s="3">
        <v>55</v>
      </c>
      <c r="F553" s="3">
        <v>278</v>
      </c>
      <c r="G553" s="2">
        <v>824</v>
      </c>
      <c r="H553" s="1" t="s">
        <v>4</v>
      </c>
      <c r="I553" s="1" t="s">
        <v>13</v>
      </c>
      <c r="J553" s="1" t="s">
        <v>2</v>
      </c>
      <c r="K553" s="1" t="s">
        <v>10</v>
      </c>
      <c r="L553" s="1" t="s">
        <v>0</v>
      </c>
    </row>
    <row r="554" spans="1:12" x14ac:dyDescent="0.25">
      <c r="A554" s="5">
        <v>46210</v>
      </c>
      <c r="B554" s="4" t="s">
        <v>5</v>
      </c>
      <c r="C554" s="4">
        <v>933.3</v>
      </c>
      <c r="D554" s="3">
        <v>9</v>
      </c>
      <c r="E554" s="3">
        <v>10</v>
      </c>
      <c r="F554" s="3">
        <v>438</v>
      </c>
      <c r="G554" s="2">
        <v>985</v>
      </c>
      <c r="H554" s="1" t="s">
        <v>4</v>
      </c>
      <c r="I554" s="1" t="s">
        <v>13</v>
      </c>
      <c r="J554" s="1" t="s">
        <v>2</v>
      </c>
      <c r="K554" s="1" t="s">
        <v>21</v>
      </c>
      <c r="L554" s="1" t="s">
        <v>20</v>
      </c>
    </row>
    <row r="555" spans="1:12" x14ac:dyDescent="0.25">
      <c r="A555" s="5">
        <v>46211</v>
      </c>
      <c r="B555" s="4" t="s">
        <v>5</v>
      </c>
      <c r="C555" s="4">
        <v>1243.8</v>
      </c>
      <c r="D555" s="3">
        <v>38</v>
      </c>
      <c r="E555" s="3">
        <v>29</v>
      </c>
      <c r="F555" s="3">
        <v>191</v>
      </c>
      <c r="G555" s="2">
        <v>1802</v>
      </c>
      <c r="H555" s="1" t="s">
        <v>14</v>
      </c>
      <c r="I555" s="1" t="s">
        <v>3</v>
      </c>
      <c r="J555" s="1" t="s">
        <v>2</v>
      </c>
      <c r="K555" s="1" t="s">
        <v>15</v>
      </c>
      <c r="L555" s="1" t="s">
        <v>9</v>
      </c>
    </row>
    <row r="556" spans="1:12" x14ac:dyDescent="0.25">
      <c r="A556" s="5">
        <v>46212</v>
      </c>
      <c r="B556" s="4" t="s">
        <v>5</v>
      </c>
      <c r="C556" s="4">
        <v>1566.9</v>
      </c>
      <c r="D556" s="3">
        <v>41</v>
      </c>
      <c r="E556" s="3">
        <v>41</v>
      </c>
      <c r="F556" s="3">
        <v>348</v>
      </c>
      <c r="G556" s="2">
        <v>459</v>
      </c>
      <c r="H556" s="1" t="s">
        <v>12</v>
      </c>
      <c r="I556" s="1" t="s">
        <v>3</v>
      </c>
      <c r="J556" s="1" t="s">
        <v>2</v>
      </c>
      <c r="K556" s="1" t="s">
        <v>15</v>
      </c>
      <c r="L556" s="1" t="s">
        <v>6</v>
      </c>
    </row>
    <row r="557" spans="1:12" x14ac:dyDescent="0.25">
      <c r="A557" s="5">
        <v>46213</v>
      </c>
      <c r="B557" s="4" t="s">
        <v>5</v>
      </c>
      <c r="C557" s="4">
        <v>2636.1</v>
      </c>
      <c r="D557" s="3">
        <v>33</v>
      </c>
      <c r="E557" s="3">
        <v>21</v>
      </c>
      <c r="F557" s="3">
        <v>407</v>
      </c>
      <c r="G557" s="2">
        <v>1193</v>
      </c>
      <c r="H557" s="1" t="s">
        <v>12</v>
      </c>
      <c r="I557" s="1" t="s">
        <v>13</v>
      </c>
      <c r="J557" s="1" t="s">
        <v>2</v>
      </c>
      <c r="K557" s="1" t="s">
        <v>10</v>
      </c>
      <c r="L557" s="1" t="s">
        <v>20</v>
      </c>
    </row>
    <row r="558" spans="1:12" x14ac:dyDescent="0.25">
      <c r="A558" s="5">
        <v>46214</v>
      </c>
      <c r="B558" s="4" t="s">
        <v>5</v>
      </c>
      <c r="C558" s="4">
        <v>1299.5999999999999</v>
      </c>
      <c r="D558" s="3">
        <v>6</v>
      </c>
      <c r="E558" s="3">
        <v>15</v>
      </c>
      <c r="F558" s="3">
        <v>122</v>
      </c>
      <c r="G558" s="2">
        <v>525</v>
      </c>
      <c r="H558" s="1" t="s">
        <v>19</v>
      </c>
      <c r="I558" s="1" t="s">
        <v>13</v>
      </c>
      <c r="J558" s="1" t="s">
        <v>8</v>
      </c>
      <c r="K558" s="1" t="s">
        <v>1</v>
      </c>
      <c r="L558" s="1" t="s">
        <v>6</v>
      </c>
    </row>
    <row r="559" spans="1:12" x14ac:dyDescent="0.25">
      <c r="A559" s="5">
        <v>46215</v>
      </c>
      <c r="B559" s="4" t="s">
        <v>5</v>
      </c>
      <c r="C559" s="4">
        <v>1747.8</v>
      </c>
      <c r="D559" s="3">
        <v>17</v>
      </c>
      <c r="E559" s="3">
        <v>29</v>
      </c>
      <c r="F559" s="3">
        <v>440</v>
      </c>
      <c r="G559" s="2">
        <v>563</v>
      </c>
      <c r="H559" s="1" t="s">
        <v>14</v>
      </c>
      <c r="I559" s="1" t="s">
        <v>13</v>
      </c>
      <c r="J559" s="1" t="s">
        <v>2</v>
      </c>
      <c r="K559" s="1" t="s">
        <v>10</v>
      </c>
      <c r="L559" s="1" t="s">
        <v>0</v>
      </c>
    </row>
    <row r="560" spans="1:12" x14ac:dyDescent="0.25">
      <c r="A560" s="5">
        <v>46216</v>
      </c>
      <c r="B560" s="4" t="s">
        <v>5</v>
      </c>
      <c r="C560" s="4">
        <v>3951.9</v>
      </c>
      <c r="D560" s="3">
        <v>35</v>
      </c>
      <c r="E560" s="3">
        <v>13</v>
      </c>
      <c r="F560" s="3">
        <v>376</v>
      </c>
      <c r="G560" s="2">
        <v>1273</v>
      </c>
      <c r="H560" s="1" t="s">
        <v>19</v>
      </c>
      <c r="I560" s="1" t="s">
        <v>3</v>
      </c>
      <c r="J560" s="1" t="s">
        <v>2</v>
      </c>
      <c r="K560" s="1" t="s">
        <v>21</v>
      </c>
      <c r="L560" s="1" t="s">
        <v>16</v>
      </c>
    </row>
    <row r="561" spans="1:12" x14ac:dyDescent="0.25">
      <c r="A561" s="5">
        <v>46217</v>
      </c>
      <c r="B561" s="4" t="s">
        <v>5</v>
      </c>
      <c r="C561" s="4">
        <v>3942</v>
      </c>
      <c r="D561" s="3">
        <v>26</v>
      </c>
      <c r="E561" s="3">
        <v>10</v>
      </c>
      <c r="F561" s="3">
        <v>98</v>
      </c>
      <c r="G561" s="2">
        <v>834</v>
      </c>
      <c r="H561" s="1" t="s">
        <v>12</v>
      </c>
      <c r="I561" s="1" t="s">
        <v>13</v>
      </c>
      <c r="J561" s="1" t="s">
        <v>18</v>
      </c>
      <c r="K561" s="1" t="s">
        <v>21</v>
      </c>
      <c r="L561" s="1" t="s">
        <v>0</v>
      </c>
    </row>
    <row r="562" spans="1:12" x14ac:dyDescent="0.25">
      <c r="A562" s="5">
        <v>46218</v>
      </c>
      <c r="B562" s="4" t="s">
        <v>5</v>
      </c>
      <c r="C562" s="4">
        <v>4659.3</v>
      </c>
      <c r="D562" s="3">
        <v>33</v>
      </c>
      <c r="E562" s="3">
        <v>51</v>
      </c>
      <c r="F562" s="3">
        <v>387</v>
      </c>
      <c r="G562" s="2">
        <v>941</v>
      </c>
      <c r="H562" s="1" t="s">
        <v>4</v>
      </c>
      <c r="I562" s="1" t="s">
        <v>3</v>
      </c>
      <c r="J562" s="1" t="s">
        <v>2</v>
      </c>
      <c r="K562" s="1" t="s">
        <v>17</v>
      </c>
      <c r="L562" s="1" t="s">
        <v>6</v>
      </c>
    </row>
    <row r="563" spans="1:12" x14ac:dyDescent="0.25">
      <c r="A563" s="5">
        <v>46219</v>
      </c>
      <c r="B563" s="4" t="s">
        <v>5</v>
      </c>
      <c r="C563" s="4">
        <v>3634.2</v>
      </c>
      <c r="D563" s="3">
        <v>21</v>
      </c>
      <c r="E563" s="3">
        <v>51</v>
      </c>
      <c r="F563" s="3">
        <v>345</v>
      </c>
      <c r="G563" s="2">
        <v>631</v>
      </c>
      <c r="H563" s="1" t="s">
        <v>4</v>
      </c>
      <c r="I563" s="1" t="s">
        <v>13</v>
      </c>
      <c r="J563" s="1" t="s">
        <v>2</v>
      </c>
      <c r="K563" s="1" t="s">
        <v>7</v>
      </c>
      <c r="L563" s="1" t="s">
        <v>16</v>
      </c>
    </row>
    <row r="564" spans="1:12" x14ac:dyDescent="0.25">
      <c r="A564" s="5">
        <v>46220</v>
      </c>
      <c r="B564" s="4" t="s">
        <v>5</v>
      </c>
      <c r="C564" s="4">
        <v>1497.6</v>
      </c>
      <c r="D564" s="3">
        <v>16</v>
      </c>
      <c r="E564" s="3">
        <v>53</v>
      </c>
      <c r="F564" s="3">
        <v>348</v>
      </c>
      <c r="G564" s="2">
        <v>348</v>
      </c>
      <c r="H564" s="1" t="s">
        <v>4</v>
      </c>
      <c r="I564" s="1" t="s">
        <v>13</v>
      </c>
      <c r="J564" s="1" t="s">
        <v>8</v>
      </c>
      <c r="K564" s="1" t="s">
        <v>7</v>
      </c>
      <c r="L564" s="1" t="s">
        <v>9</v>
      </c>
    </row>
    <row r="565" spans="1:12" x14ac:dyDescent="0.25">
      <c r="A565" s="5">
        <v>46221</v>
      </c>
      <c r="B565" s="4" t="s">
        <v>5</v>
      </c>
      <c r="C565" s="4">
        <v>3838.5</v>
      </c>
      <c r="D565" s="3">
        <v>14</v>
      </c>
      <c r="E565" s="3">
        <v>45</v>
      </c>
      <c r="F565" s="3">
        <v>198</v>
      </c>
      <c r="G565" s="2">
        <v>1953</v>
      </c>
      <c r="H565" s="1" t="s">
        <v>4</v>
      </c>
      <c r="I565" s="1" t="s">
        <v>3</v>
      </c>
      <c r="J565" s="1" t="s">
        <v>8</v>
      </c>
      <c r="K565" s="1" t="s">
        <v>17</v>
      </c>
      <c r="L565" s="1" t="s">
        <v>6</v>
      </c>
    </row>
    <row r="566" spans="1:12" x14ac:dyDescent="0.25">
      <c r="A566" s="5">
        <v>46222</v>
      </c>
      <c r="B566" s="4" t="s">
        <v>5</v>
      </c>
      <c r="C566" s="4">
        <v>1130.4000000000001</v>
      </c>
      <c r="D566" s="3">
        <v>36</v>
      </c>
      <c r="E566" s="3">
        <v>14</v>
      </c>
      <c r="F566" s="3">
        <v>369</v>
      </c>
      <c r="G566" s="2">
        <v>2197</v>
      </c>
      <c r="H566" s="1" t="s">
        <v>4</v>
      </c>
      <c r="I566" s="1" t="s">
        <v>3</v>
      </c>
      <c r="J566" s="1" t="s">
        <v>18</v>
      </c>
      <c r="K566" s="1" t="s">
        <v>15</v>
      </c>
      <c r="L566" s="1" t="s">
        <v>6</v>
      </c>
    </row>
    <row r="567" spans="1:12" x14ac:dyDescent="0.25">
      <c r="A567" s="5">
        <v>46223</v>
      </c>
      <c r="B567" s="4" t="s">
        <v>5</v>
      </c>
      <c r="C567" s="4">
        <v>1279.8</v>
      </c>
      <c r="D567" s="3">
        <v>14</v>
      </c>
      <c r="E567" s="3">
        <v>56</v>
      </c>
      <c r="F567" s="3">
        <v>158</v>
      </c>
      <c r="G567" s="2">
        <v>521</v>
      </c>
      <c r="H567" s="1" t="s">
        <v>19</v>
      </c>
      <c r="I567" s="1" t="s">
        <v>3</v>
      </c>
      <c r="J567" s="1" t="s">
        <v>11</v>
      </c>
      <c r="K567" s="1" t="s">
        <v>1</v>
      </c>
      <c r="L567" s="1" t="s">
        <v>20</v>
      </c>
    </row>
    <row r="568" spans="1:12" x14ac:dyDescent="0.25">
      <c r="A568" s="5">
        <v>46224</v>
      </c>
      <c r="B568" s="4" t="s">
        <v>5</v>
      </c>
      <c r="C568" s="4">
        <v>4606.2</v>
      </c>
      <c r="D568" s="3">
        <v>29</v>
      </c>
      <c r="E568" s="3">
        <v>28</v>
      </c>
      <c r="F568" s="3">
        <v>207</v>
      </c>
      <c r="G568" s="2">
        <v>816</v>
      </c>
      <c r="H568" s="1" t="s">
        <v>14</v>
      </c>
      <c r="I568" s="1" t="s">
        <v>3</v>
      </c>
      <c r="J568" s="1" t="s">
        <v>2</v>
      </c>
      <c r="K568" s="1" t="s">
        <v>7</v>
      </c>
      <c r="L568" s="1" t="s">
        <v>9</v>
      </c>
    </row>
    <row r="569" spans="1:12" x14ac:dyDescent="0.25">
      <c r="A569" s="5">
        <v>46225</v>
      </c>
      <c r="B569" s="4" t="s">
        <v>5</v>
      </c>
      <c r="C569" s="4">
        <v>2165.4</v>
      </c>
      <c r="D569" s="3">
        <v>43</v>
      </c>
      <c r="E569" s="3">
        <v>0</v>
      </c>
      <c r="F569" s="3">
        <v>314</v>
      </c>
      <c r="G569" s="2">
        <v>2089</v>
      </c>
      <c r="H569" s="1" t="s">
        <v>4</v>
      </c>
      <c r="I569" s="1" t="s">
        <v>3</v>
      </c>
      <c r="J569" s="1" t="s">
        <v>11</v>
      </c>
      <c r="K569" s="1" t="s">
        <v>7</v>
      </c>
      <c r="L569" s="1" t="s">
        <v>20</v>
      </c>
    </row>
    <row r="570" spans="1:12" x14ac:dyDescent="0.25">
      <c r="A570" s="5">
        <v>46226</v>
      </c>
      <c r="B570" s="4" t="s">
        <v>5</v>
      </c>
      <c r="C570" s="4">
        <v>2429.1</v>
      </c>
      <c r="D570" s="3">
        <v>25</v>
      </c>
      <c r="E570" s="3">
        <v>32</v>
      </c>
      <c r="F570" s="3">
        <v>93</v>
      </c>
      <c r="G570" s="2">
        <v>1801</v>
      </c>
      <c r="H570" s="1" t="s">
        <v>12</v>
      </c>
      <c r="I570" s="1" t="s">
        <v>13</v>
      </c>
      <c r="J570" s="1" t="s">
        <v>2</v>
      </c>
      <c r="K570" s="1" t="s">
        <v>17</v>
      </c>
      <c r="L570" s="1" t="s">
        <v>6</v>
      </c>
    </row>
    <row r="571" spans="1:12" x14ac:dyDescent="0.25">
      <c r="A571" s="5">
        <v>46227</v>
      </c>
      <c r="B571" s="4" t="s">
        <v>5</v>
      </c>
      <c r="C571" s="4">
        <v>3798.9</v>
      </c>
      <c r="D571" s="3">
        <v>11</v>
      </c>
      <c r="E571" s="3">
        <v>52</v>
      </c>
      <c r="F571" s="3">
        <v>55</v>
      </c>
      <c r="G571" s="2">
        <v>361</v>
      </c>
      <c r="H571" s="1" t="s">
        <v>19</v>
      </c>
      <c r="I571" s="1" t="s">
        <v>3</v>
      </c>
      <c r="J571" s="1" t="s">
        <v>8</v>
      </c>
      <c r="K571" s="1" t="s">
        <v>10</v>
      </c>
      <c r="L571" s="1" t="s">
        <v>16</v>
      </c>
    </row>
    <row r="572" spans="1:12" x14ac:dyDescent="0.25">
      <c r="A572" s="5">
        <v>46228</v>
      </c>
      <c r="B572" s="4" t="s">
        <v>5</v>
      </c>
      <c r="C572" s="4">
        <v>3600</v>
      </c>
      <c r="D572" s="3">
        <v>30</v>
      </c>
      <c r="E572" s="3">
        <v>10</v>
      </c>
      <c r="F572" s="3">
        <v>303</v>
      </c>
      <c r="G572" s="2">
        <v>2484</v>
      </c>
      <c r="H572" s="1" t="s">
        <v>12</v>
      </c>
      <c r="I572" s="1" t="s">
        <v>3</v>
      </c>
      <c r="J572" s="1" t="s">
        <v>8</v>
      </c>
      <c r="K572" s="1" t="s">
        <v>17</v>
      </c>
      <c r="L572" s="1" t="s">
        <v>16</v>
      </c>
    </row>
    <row r="573" spans="1:12" x14ac:dyDescent="0.25">
      <c r="A573" s="5">
        <v>46229</v>
      </c>
      <c r="B573" s="4" t="s">
        <v>5</v>
      </c>
      <c r="C573" s="4">
        <v>4072.5</v>
      </c>
      <c r="D573" s="3">
        <v>25</v>
      </c>
      <c r="E573" s="3">
        <v>36</v>
      </c>
      <c r="F573" s="3">
        <v>314</v>
      </c>
      <c r="G573" s="2">
        <v>2116</v>
      </c>
      <c r="H573" s="1" t="s">
        <v>19</v>
      </c>
      <c r="I573" s="1" t="s">
        <v>3</v>
      </c>
      <c r="J573" s="1" t="s">
        <v>18</v>
      </c>
      <c r="K573" s="1" t="s">
        <v>17</v>
      </c>
      <c r="L573" s="1" t="s">
        <v>16</v>
      </c>
    </row>
    <row r="574" spans="1:12" x14ac:dyDescent="0.25">
      <c r="A574" s="5">
        <v>46230</v>
      </c>
      <c r="B574" s="4" t="s">
        <v>5</v>
      </c>
      <c r="C574" s="4">
        <v>1055.7</v>
      </c>
      <c r="D574" s="3">
        <v>24</v>
      </c>
      <c r="E574" s="3">
        <v>0</v>
      </c>
      <c r="F574" s="3">
        <v>153</v>
      </c>
      <c r="G574" s="2">
        <v>917</v>
      </c>
      <c r="H574" s="1" t="s">
        <v>4</v>
      </c>
      <c r="I574" s="1" t="s">
        <v>3</v>
      </c>
      <c r="J574" s="1" t="s">
        <v>8</v>
      </c>
      <c r="K574" s="1" t="s">
        <v>15</v>
      </c>
      <c r="L574" s="1" t="s">
        <v>9</v>
      </c>
    </row>
    <row r="575" spans="1:12" x14ac:dyDescent="0.25">
      <c r="A575" s="5">
        <v>46231</v>
      </c>
      <c r="B575" s="4" t="s">
        <v>5</v>
      </c>
      <c r="C575" s="4">
        <v>2597.4</v>
      </c>
      <c r="D575" s="3">
        <v>37</v>
      </c>
      <c r="E575" s="3">
        <v>4</v>
      </c>
      <c r="F575" s="3">
        <v>114</v>
      </c>
      <c r="G575" s="2">
        <v>563</v>
      </c>
      <c r="H575" s="1" t="s">
        <v>14</v>
      </c>
      <c r="I575" s="1" t="s">
        <v>13</v>
      </c>
      <c r="J575" s="1" t="s">
        <v>8</v>
      </c>
      <c r="K575" s="1" t="s">
        <v>10</v>
      </c>
      <c r="L575" s="1" t="s">
        <v>9</v>
      </c>
    </row>
    <row r="576" spans="1:12" x14ac:dyDescent="0.25">
      <c r="A576" s="5">
        <v>46232</v>
      </c>
      <c r="B576" s="4" t="s">
        <v>5</v>
      </c>
      <c r="C576" s="4">
        <v>3663</v>
      </c>
      <c r="D576" s="3">
        <v>33</v>
      </c>
      <c r="E576" s="3">
        <v>6</v>
      </c>
      <c r="F576" s="3">
        <v>371</v>
      </c>
      <c r="G576" s="2">
        <v>486</v>
      </c>
      <c r="H576" s="1" t="s">
        <v>12</v>
      </c>
      <c r="I576" s="1" t="s">
        <v>3</v>
      </c>
      <c r="J576" s="1" t="s">
        <v>11</v>
      </c>
      <c r="K576" s="1" t="s">
        <v>10</v>
      </c>
      <c r="L576" s="1" t="s">
        <v>9</v>
      </c>
    </row>
    <row r="577" spans="1:12" x14ac:dyDescent="0.25">
      <c r="A577" s="5">
        <v>46233</v>
      </c>
      <c r="B577" s="4" t="s">
        <v>5</v>
      </c>
      <c r="C577" s="4">
        <v>3595.5</v>
      </c>
      <c r="D577" s="3">
        <v>39</v>
      </c>
      <c r="E577" s="3">
        <v>21</v>
      </c>
      <c r="F577" s="3">
        <v>275</v>
      </c>
      <c r="G577" s="2">
        <v>1232</v>
      </c>
      <c r="H577" s="1" t="s">
        <v>4</v>
      </c>
      <c r="I577" s="1" t="s">
        <v>3</v>
      </c>
      <c r="J577" s="1" t="s">
        <v>8</v>
      </c>
      <c r="K577" s="1" t="s">
        <v>7</v>
      </c>
      <c r="L577" s="1" t="s">
        <v>6</v>
      </c>
    </row>
    <row r="578" spans="1:12" x14ac:dyDescent="0.25">
      <c r="A578" s="5">
        <v>46234</v>
      </c>
      <c r="B578" s="4" t="s">
        <v>5</v>
      </c>
      <c r="C578" s="4">
        <v>1822.5</v>
      </c>
      <c r="D578" s="3">
        <v>20</v>
      </c>
      <c r="E578" s="3">
        <v>27</v>
      </c>
      <c r="F578" s="3">
        <v>74</v>
      </c>
      <c r="G578" s="2">
        <v>1361</v>
      </c>
      <c r="H578" s="1" t="s">
        <v>4</v>
      </c>
      <c r="I578" s="1" t="s">
        <v>3</v>
      </c>
      <c r="J578" s="1" t="s">
        <v>2</v>
      </c>
      <c r="K578" s="1" t="s">
        <v>1</v>
      </c>
      <c r="L578" s="1" t="s">
        <v>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C4A765-5C3F-4335-931A-8E40E452A4E3}">
  <dimension ref="A1:M578"/>
  <sheetViews>
    <sheetView workbookViewId="0"/>
  </sheetViews>
  <sheetFormatPr defaultRowHeight="15" x14ac:dyDescent="0.25"/>
  <cols>
    <col min="1" max="1" width="10.42578125" style="9" bestFit="1" customWidth="1"/>
    <col min="5" max="5" width="23.42578125" customWidth="1"/>
    <col min="6" max="6" width="20.140625" customWidth="1"/>
    <col min="7" max="7" width="19.28515625" customWidth="1"/>
    <col min="8" max="8" width="12.42578125" style="10" customWidth="1"/>
    <col min="9" max="9" width="12.5703125" customWidth="1"/>
    <col min="10" max="10" width="9.85546875" customWidth="1"/>
    <col min="13" max="13" width="10.140625" customWidth="1"/>
  </cols>
  <sheetData>
    <row r="1" spans="1:13" x14ac:dyDescent="0.25">
      <c r="A1" s="9" t="s">
        <v>420</v>
      </c>
      <c r="B1" t="s">
        <v>421</v>
      </c>
      <c r="C1" t="s">
        <v>419</v>
      </c>
      <c r="D1" t="s">
        <v>418</v>
      </c>
      <c r="E1" t="s">
        <v>417</v>
      </c>
      <c r="F1" t="s">
        <v>416</v>
      </c>
      <c r="G1" t="s">
        <v>415</v>
      </c>
      <c r="H1" s="10" t="s">
        <v>414</v>
      </c>
      <c r="I1" t="s">
        <v>413</v>
      </c>
      <c r="J1" t="s">
        <v>412</v>
      </c>
      <c r="K1" t="s">
        <v>411</v>
      </c>
      <c r="L1" t="s">
        <v>410</v>
      </c>
      <c r="M1" t="s">
        <v>409</v>
      </c>
    </row>
    <row r="2" spans="1:13" x14ac:dyDescent="0.25">
      <c r="A2" s="9">
        <v>45658</v>
      </c>
      <c r="B2">
        <v>2025</v>
      </c>
      <c r="C2" t="s">
        <v>34</v>
      </c>
      <c r="D2">
        <v>615</v>
      </c>
      <c r="E2">
        <v>10</v>
      </c>
      <c r="F2">
        <v>38</v>
      </c>
      <c r="G2">
        <v>212</v>
      </c>
      <c r="H2" s="10">
        <v>1580.92</v>
      </c>
      <c r="I2">
        <v>0</v>
      </c>
      <c r="J2" t="s">
        <v>13</v>
      </c>
      <c r="K2" t="s">
        <v>18</v>
      </c>
      <c r="L2" t="s">
        <v>7</v>
      </c>
      <c r="M2" t="s">
        <v>0</v>
      </c>
    </row>
    <row r="3" spans="1:13" x14ac:dyDescent="0.25">
      <c r="A3" s="9">
        <v>45659</v>
      </c>
      <c r="B3">
        <v>2025</v>
      </c>
      <c r="C3" t="s">
        <v>34</v>
      </c>
      <c r="D3">
        <v>4667</v>
      </c>
      <c r="E3">
        <v>21</v>
      </c>
      <c r="F3">
        <v>0</v>
      </c>
      <c r="G3">
        <v>349</v>
      </c>
      <c r="H3" s="10">
        <v>749.5</v>
      </c>
      <c r="I3">
        <v>0</v>
      </c>
      <c r="J3" t="s">
        <v>3</v>
      </c>
      <c r="K3" t="s">
        <v>18</v>
      </c>
      <c r="L3" t="s">
        <v>1</v>
      </c>
      <c r="M3" t="s">
        <v>0</v>
      </c>
    </row>
    <row r="4" spans="1:13" x14ac:dyDescent="0.25">
      <c r="A4" s="9">
        <v>45660</v>
      </c>
      <c r="B4">
        <v>2025</v>
      </c>
      <c r="C4" t="s">
        <v>34</v>
      </c>
      <c r="D4">
        <v>2218</v>
      </c>
      <c r="E4">
        <v>41</v>
      </c>
      <c r="F4">
        <v>-1</v>
      </c>
      <c r="G4">
        <v>210</v>
      </c>
      <c r="H4" s="10">
        <v>736.53</v>
      </c>
      <c r="I4">
        <v>0</v>
      </c>
      <c r="J4" t="s">
        <v>3</v>
      </c>
      <c r="K4" t="s">
        <v>11</v>
      </c>
      <c r="L4" t="s">
        <v>1</v>
      </c>
      <c r="M4" t="s">
        <v>0</v>
      </c>
    </row>
    <row r="5" spans="1:13" x14ac:dyDescent="0.25">
      <c r="A5" s="9">
        <v>45661</v>
      </c>
      <c r="B5">
        <v>2025</v>
      </c>
      <c r="C5" t="s">
        <v>34</v>
      </c>
      <c r="D5">
        <v>1077</v>
      </c>
      <c r="E5">
        <v>15</v>
      </c>
      <c r="F5">
        <v>41</v>
      </c>
      <c r="G5">
        <v>40</v>
      </c>
      <c r="H5" s="10">
        <v>2059.2399999999998</v>
      </c>
      <c r="I5">
        <v>0</v>
      </c>
      <c r="J5" t="s">
        <v>13</v>
      </c>
      <c r="K5" t="s">
        <v>2</v>
      </c>
      <c r="L5" t="s">
        <v>10</v>
      </c>
      <c r="M5" t="s">
        <v>0</v>
      </c>
    </row>
    <row r="6" spans="1:13" x14ac:dyDescent="0.25">
      <c r="A6" s="9">
        <v>45662</v>
      </c>
      <c r="B6">
        <v>2025</v>
      </c>
      <c r="C6" t="s">
        <v>34</v>
      </c>
      <c r="D6">
        <v>868</v>
      </c>
      <c r="E6">
        <v>10</v>
      </c>
      <c r="F6">
        <v>49</v>
      </c>
      <c r="G6">
        <v>175</v>
      </c>
      <c r="H6" s="10">
        <v>256.43</v>
      </c>
      <c r="I6">
        <v>0</v>
      </c>
      <c r="J6" t="s">
        <v>13</v>
      </c>
      <c r="K6" t="s">
        <v>18</v>
      </c>
      <c r="L6" t="s">
        <v>7</v>
      </c>
      <c r="M6" t="s">
        <v>0</v>
      </c>
    </row>
    <row r="7" spans="1:13" x14ac:dyDescent="0.25">
      <c r="A7" s="9">
        <v>45663</v>
      </c>
      <c r="B7">
        <v>2025</v>
      </c>
      <c r="C7" t="s">
        <v>34</v>
      </c>
      <c r="D7">
        <v>1974</v>
      </c>
      <c r="E7">
        <v>31</v>
      </c>
      <c r="F7">
        <v>3</v>
      </c>
      <c r="G7">
        <v>161</v>
      </c>
      <c r="H7" s="10">
        <v>117</v>
      </c>
      <c r="I7">
        <v>0</v>
      </c>
      <c r="J7" t="s">
        <v>13</v>
      </c>
      <c r="K7" t="s">
        <v>18</v>
      </c>
      <c r="L7" t="s">
        <v>15</v>
      </c>
      <c r="M7" t="s">
        <v>0</v>
      </c>
    </row>
    <row r="8" spans="1:13" x14ac:dyDescent="0.25">
      <c r="A8" s="9">
        <v>45664</v>
      </c>
      <c r="B8">
        <v>2025</v>
      </c>
      <c r="C8" t="s">
        <v>34</v>
      </c>
      <c r="D8">
        <v>702</v>
      </c>
      <c r="E8">
        <v>22</v>
      </c>
      <c r="F8">
        <v>9</v>
      </c>
      <c r="G8">
        <v>288</v>
      </c>
      <c r="H8" s="10">
        <v>694.7</v>
      </c>
      <c r="I8">
        <v>0</v>
      </c>
      <c r="J8" t="s">
        <v>3</v>
      </c>
      <c r="K8" t="s">
        <v>18</v>
      </c>
      <c r="L8" t="s">
        <v>7</v>
      </c>
      <c r="M8" t="s">
        <v>0</v>
      </c>
    </row>
    <row r="9" spans="1:13" x14ac:dyDescent="0.25">
      <c r="A9" s="9">
        <v>45665</v>
      </c>
      <c r="B9">
        <v>2025</v>
      </c>
      <c r="C9" t="s">
        <v>34</v>
      </c>
      <c r="D9">
        <v>3117</v>
      </c>
      <c r="E9">
        <v>27</v>
      </c>
      <c r="F9">
        <v>2</v>
      </c>
      <c r="G9">
        <v>142</v>
      </c>
      <c r="H9" s="10">
        <v>1330.48</v>
      </c>
      <c r="I9">
        <v>0</v>
      </c>
      <c r="J9" t="s">
        <v>13</v>
      </c>
      <c r="K9" t="s">
        <v>18</v>
      </c>
      <c r="L9" t="s">
        <v>7</v>
      </c>
      <c r="M9" t="s">
        <v>0</v>
      </c>
    </row>
    <row r="10" spans="1:13" x14ac:dyDescent="0.25">
      <c r="A10" s="9">
        <v>45666</v>
      </c>
      <c r="B10">
        <v>2025</v>
      </c>
      <c r="C10" t="s">
        <v>34</v>
      </c>
      <c r="D10">
        <v>1448</v>
      </c>
      <c r="E10">
        <v>17</v>
      </c>
      <c r="F10">
        <v>28</v>
      </c>
      <c r="G10">
        <v>212</v>
      </c>
      <c r="H10" s="10">
        <v>1040.24</v>
      </c>
      <c r="I10">
        <v>55</v>
      </c>
      <c r="J10" t="s">
        <v>13</v>
      </c>
      <c r="K10" t="s">
        <v>18</v>
      </c>
      <c r="L10" t="s">
        <v>17</v>
      </c>
      <c r="M10" t="s">
        <v>0</v>
      </c>
    </row>
    <row r="11" spans="1:13" x14ac:dyDescent="0.25">
      <c r="A11" s="9">
        <v>45667</v>
      </c>
      <c r="B11">
        <v>2025</v>
      </c>
      <c r="C11" t="s">
        <v>34</v>
      </c>
      <c r="D11">
        <v>707</v>
      </c>
      <c r="E11">
        <v>18</v>
      </c>
      <c r="F11">
        <v>39</v>
      </c>
      <c r="G11">
        <v>28</v>
      </c>
      <c r="H11" s="10">
        <v>1474.64</v>
      </c>
      <c r="I11">
        <v>0</v>
      </c>
      <c r="J11" t="s">
        <v>3</v>
      </c>
      <c r="K11" t="s">
        <v>18</v>
      </c>
      <c r="L11" t="s">
        <v>7</v>
      </c>
      <c r="M11" t="s">
        <v>0</v>
      </c>
    </row>
    <row r="12" spans="1:13" x14ac:dyDescent="0.25">
      <c r="A12" s="9">
        <v>45668</v>
      </c>
      <c r="B12">
        <v>2025</v>
      </c>
      <c r="C12" t="s">
        <v>34</v>
      </c>
      <c r="D12">
        <v>3027</v>
      </c>
      <c r="E12">
        <v>22</v>
      </c>
      <c r="F12">
        <v>-5</v>
      </c>
      <c r="G12">
        <v>146</v>
      </c>
      <c r="H12" s="10">
        <v>1529.31</v>
      </c>
      <c r="I12">
        <v>0</v>
      </c>
      <c r="J12" t="s">
        <v>13</v>
      </c>
      <c r="K12" t="s">
        <v>18</v>
      </c>
      <c r="L12" t="s">
        <v>17</v>
      </c>
      <c r="M12" t="s">
        <v>0</v>
      </c>
    </row>
    <row r="13" spans="1:13" x14ac:dyDescent="0.25">
      <c r="A13" s="9">
        <v>45669</v>
      </c>
      <c r="B13">
        <v>2025</v>
      </c>
      <c r="C13" t="s">
        <v>34</v>
      </c>
      <c r="D13">
        <v>4138</v>
      </c>
      <c r="E13">
        <v>3</v>
      </c>
      <c r="F13">
        <v>30</v>
      </c>
      <c r="G13">
        <v>97</v>
      </c>
      <c r="H13" s="10">
        <v>2309.11</v>
      </c>
      <c r="I13">
        <v>0</v>
      </c>
      <c r="J13" t="s">
        <v>13</v>
      </c>
      <c r="K13" t="s">
        <v>18</v>
      </c>
      <c r="L13" t="s">
        <v>1</v>
      </c>
      <c r="M13" t="s">
        <v>0</v>
      </c>
    </row>
    <row r="14" spans="1:13" x14ac:dyDescent="0.25">
      <c r="A14" s="9">
        <v>45670</v>
      </c>
      <c r="B14">
        <v>2025</v>
      </c>
      <c r="C14" t="s">
        <v>34</v>
      </c>
      <c r="D14">
        <v>1141</v>
      </c>
      <c r="E14">
        <v>34</v>
      </c>
      <c r="F14">
        <v>6</v>
      </c>
      <c r="G14">
        <v>125</v>
      </c>
      <c r="H14" s="10">
        <v>1658.85</v>
      </c>
      <c r="I14">
        <v>0</v>
      </c>
      <c r="J14" t="s">
        <v>13</v>
      </c>
      <c r="K14" t="s">
        <v>18</v>
      </c>
      <c r="L14" t="s">
        <v>10</v>
      </c>
      <c r="M14" t="s">
        <v>0</v>
      </c>
    </row>
    <row r="15" spans="1:13" x14ac:dyDescent="0.25">
      <c r="A15" s="9">
        <v>45671</v>
      </c>
      <c r="B15">
        <v>2025</v>
      </c>
      <c r="C15" t="s">
        <v>34</v>
      </c>
      <c r="D15">
        <v>1519</v>
      </c>
      <c r="E15">
        <v>9</v>
      </c>
      <c r="F15">
        <v>28</v>
      </c>
      <c r="G15">
        <v>182</v>
      </c>
      <c r="H15" s="10">
        <v>1282.2</v>
      </c>
      <c r="I15">
        <v>0</v>
      </c>
      <c r="J15" t="s">
        <v>3</v>
      </c>
      <c r="K15" t="s">
        <v>18</v>
      </c>
      <c r="L15" t="s">
        <v>15</v>
      </c>
      <c r="M15" t="s">
        <v>0</v>
      </c>
    </row>
    <row r="16" spans="1:13" x14ac:dyDescent="0.25">
      <c r="A16" s="9">
        <v>45672</v>
      </c>
      <c r="B16">
        <v>2025</v>
      </c>
      <c r="C16" t="s">
        <v>34</v>
      </c>
      <c r="D16">
        <v>4487</v>
      </c>
      <c r="E16">
        <v>3</v>
      </c>
      <c r="F16">
        <v>27</v>
      </c>
      <c r="G16">
        <v>369</v>
      </c>
      <c r="H16" s="10">
        <v>1015.56</v>
      </c>
      <c r="I16">
        <v>0</v>
      </c>
      <c r="J16" t="s">
        <v>13</v>
      </c>
      <c r="K16" t="s">
        <v>11</v>
      </c>
      <c r="L16" t="s">
        <v>21</v>
      </c>
      <c r="M16" t="s">
        <v>0</v>
      </c>
    </row>
    <row r="17" spans="1:13" x14ac:dyDescent="0.25">
      <c r="A17" s="9">
        <v>45673</v>
      </c>
      <c r="B17">
        <v>2025</v>
      </c>
      <c r="C17" t="s">
        <v>34</v>
      </c>
      <c r="D17">
        <v>3284</v>
      </c>
      <c r="E17">
        <v>17</v>
      </c>
      <c r="F17">
        <v>36</v>
      </c>
      <c r="G17">
        <v>444</v>
      </c>
      <c r="H17" s="10">
        <v>2376.14</v>
      </c>
      <c r="I17">
        <v>0</v>
      </c>
      <c r="J17" t="s">
        <v>13</v>
      </c>
      <c r="K17" t="s">
        <v>18</v>
      </c>
      <c r="L17" t="s">
        <v>7</v>
      </c>
      <c r="M17" t="s">
        <v>0</v>
      </c>
    </row>
    <row r="18" spans="1:13" x14ac:dyDescent="0.25">
      <c r="A18" s="9">
        <v>45674</v>
      </c>
      <c r="B18">
        <v>2025</v>
      </c>
      <c r="C18" t="s">
        <v>34</v>
      </c>
      <c r="D18">
        <v>1578</v>
      </c>
      <c r="E18">
        <v>22</v>
      </c>
      <c r="F18">
        <v>17</v>
      </c>
      <c r="G18">
        <v>113</v>
      </c>
      <c r="H18" s="10">
        <v>1396.25</v>
      </c>
      <c r="I18">
        <v>0</v>
      </c>
      <c r="J18" t="s">
        <v>13</v>
      </c>
      <c r="K18" t="s">
        <v>8</v>
      </c>
      <c r="L18" t="s">
        <v>7</v>
      </c>
      <c r="M18" t="s">
        <v>0</v>
      </c>
    </row>
    <row r="19" spans="1:13" x14ac:dyDescent="0.25">
      <c r="A19" s="9">
        <v>45675</v>
      </c>
      <c r="B19">
        <v>2025</v>
      </c>
      <c r="C19" t="s">
        <v>34</v>
      </c>
      <c r="D19">
        <v>4657</v>
      </c>
      <c r="E19">
        <v>36</v>
      </c>
      <c r="F19">
        <v>48</v>
      </c>
      <c r="G19">
        <v>245</v>
      </c>
      <c r="H19" s="10">
        <v>259.48</v>
      </c>
      <c r="I19">
        <v>0</v>
      </c>
      <c r="J19" t="s">
        <v>13</v>
      </c>
      <c r="K19" t="s">
        <v>18</v>
      </c>
      <c r="L19" t="s">
        <v>15</v>
      </c>
      <c r="M19" t="s">
        <v>0</v>
      </c>
    </row>
    <row r="20" spans="1:13" x14ac:dyDescent="0.25">
      <c r="A20" s="9">
        <v>45676</v>
      </c>
      <c r="B20">
        <v>2025</v>
      </c>
      <c r="C20" t="s">
        <v>34</v>
      </c>
      <c r="D20">
        <v>4367</v>
      </c>
      <c r="E20">
        <v>37</v>
      </c>
      <c r="F20">
        <v>22</v>
      </c>
      <c r="G20">
        <v>335</v>
      </c>
      <c r="H20" s="10">
        <v>1699.21</v>
      </c>
      <c r="I20">
        <v>0</v>
      </c>
      <c r="J20" t="s">
        <v>13</v>
      </c>
      <c r="K20" t="s">
        <v>11</v>
      </c>
      <c r="L20" t="s">
        <v>17</v>
      </c>
      <c r="M20" t="s">
        <v>0</v>
      </c>
    </row>
    <row r="21" spans="1:13" x14ac:dyDescent="0.25">
      <c r="A21" s="9">
        <v>45677</v>
      </c>
      <c r="B21">
        <v>2025</v>
      </c>
      <c r="C21" t="s">
        <v>34</v>
      </c>
      <c r="D21">
        <v>546</v>
      </c>
      <c r="E21">
        <v>41</v>
      </c>
      <c r="F21">
        <v>34</v>
      </c>
      <c r="G21">
        <v>371</v>
      </c>
      <c r="H21" s="10">
        <v>1297.73</v>
      </c>
      <c r="I21">
        <v>0</v>
      </c>
      <c r="J21" t="s">
        <v>3</v>
      </c>
      <c r="K21" t="s">
        <v>11</v>
      </c>
      <c r="L21" t="s">
        <v>15</v>
      </c>
      <c r="M21" t="s">
        <v>0</v>
      </c>
    </row>
    <row r="22" spans="1:13" x14ac:dyDescent="0.25">
      <c r="A22" s="9">
        <v>45678</v>
      </c>
      <c r="B22">
        <v>2025</v>
      </c>
      <c r="C22" t="s">
        <v>34</v>
      </c>
      <c r="D22">
        <v>2974</v>
      </c>
      <c r="E22">
        <v>27</v>
      </c>
      <c r="F22">
        <v>36</v>
      </c>
      <c r="G22">
        <v>162</v>
      </c>
      <c r="H22" s="10">
        <v>415.96</v>
      </c>
      <c r="I22">
        <v>0</v>
      </c>
      <c r="J22" t="s">
        <v>13</v>
      </c>
      <c r="K22" t="s">
        <v>18</v>
      </c>
      <c r="L22" t="s">
        <v>10</v>
      </c>
      <c r="M22" t="s">
        <v>0</v>
      </c>
    </row>
    <row r="23" spans="1:13" x14ac:dyDescent="0.25">
      <c r="A23" s="9">
        <v>45679</v>
      </c>
      <c r="B23">
        <v>2025</v>
      </c>
      <c r="C23" t="s">
        <v>34</v>
      </c>
      <c r="D23">
        <v>2056</v>
      </c>
      <c r="E23">
        <v>18</v>
      </c>
      <c r="F23">
        <v>29</v>
      </c>
      <c r="G23">
        <v>402</v>
      </c>
      <c r="H23" s="10">
        <v>1403.64</v>
      </c>
      <c r="I23">
        <v>0</v>
      </c>
      <c r="J23" t="s">
        <v>13</v>
      </c>
      <c r="K23" t="s">
        <v>11</v>
      </c>
      <c r="L23" t="s">
        <v>1</v>
      </c>
      <c r="M23" t="s">
        <v>0</v>
      </c>
    </row>
    <row r="24" spans="1:13" x14ac:dyDescent="0.25">
      <c r="A24" s="9">
        <v>45680</v>
      </c>
      <c r="B24">
        <v>2025</v>
      </c>
      <c r="C24" t="s">
        <v>34</v>
      </c>
      <c r="D24">
        <v>1519</v>
      </c>
      <c r="E24">
        <v>29</v>
      </c>
      <c r="F24">
        <v>50</v>
      </c>
      <c r="G24">
        <v>278</v>
      </c>
      <c r="H24" s="10">
        <v>622.07000000000005</v>
      </c>
      <c r="I24">
        <v>0</v>
      </c>
      <c r="J24" t="s">
        <v>3</v>
      </c>
      <c r="K24" t="s">
        <v>18</v>
      </c>
      <c r="L24" t="s">
        <v>10</v>
      </c>
      <c r="M24" t="s">
        <v>0</v>
      </c>
    </row>
    <row r="25" spans="1:13" x14ac:dyDescent="0.25">
      <c r="A25" s="9">
        <v>45681</v>
      </c>
      <c r="B25">
        <v>2025</v>
      </c>
      <c r="C25" t="s">
        <v>34</v>
      </c>
      <c r="D25">
        <v>3071</v>
      </c>
      <c r="E25">
        <v>21</v>
      </c>
      <c r="F25">
        <v>15</v>
      </c>
      <c r="G25">
        <v>161</v>
      </c>
      <c r="H25" s="10">
        <v>1628.69</v>
      </c>
      <c r="I25">
        <v>0</v>
      </c>
      <c r="J25" t="s">
        <v>3</v>
      </c>
      <c r="K25" t="s">
        <v>18</v>
      </c>
      <c r="L25" t="s">
        <v>10</v>
      </c>
      <c r="M25" t="s">
        <v>0</v>
      </c>
    </row>
    <row r="26" spans="1:13" x14ac:dyDescent="0.25">
      <c r="A26" s="9">
        <v>45682</v>
      </c>
      <c r="B26">
        <v>2025</v>
      </c>
      <c r="C26" t="s">
        <v>34</v>
      </c>
      <c r="D26">
        <v>516</v>
      </c>
      <c r="E26">
        <v>26</v>
      </c>
      <c r="F26">
        <v>45</v>
      </c>
      <c r="G26">
        <v>112</v>
      </c>
      <c r="H26" s="10">
        <v>61.75</v>
      </c>
      <c r="I26">
        <v>0</v>
      </c>
      <c r="J26" t="s">
        <v>3</v>
      </c>
      <c r="K26" t="s">
        <v>18</v>
      </c>
      <c r="L26" t="s">
        <v>10</v>
      </c>
      <c r="M26" t="s">
        <v>0</v>
      </c>
    </row>
    <row r="27" spans="1:13" x14ac:dyDescent="0.25">
      <c r="A27" s="9">
        <v>45683</v>
      </c>
      <c r="B27">
        <v>2025</v>
      </c>
      <c r="C27" t="s">
        <v>34</v>
      </c>
      <c r="D27">
        <v>4045</v>
      </c>
      <c r="E27">
        <v>14</v>
      </c>
      <c r="F27">
        <v>10</v>
      </c>
      <c r="G27">
        <v>291</v>
      </c>
      <c r="H27" s="10">
        <v>747.65</v>
      </c>
      <c r="I27">
        <v>0</v>
      </c>
      <c r="J27" t="s">
        <v>13</v>
      </c>
      <c r="K27" t="s">
        <v>11</v>
      </c>
      <c r="L27" t="s">
        <v>7</v>
      </c>
      <c r="M27" t="s">
        <v>0</v>
      </c>
    </row>
    <row r="28" spans="1:13" x14ac:dyDescent="0.25">
      <c r="A28" s="9">
        <v>45684</v>
      </c>
      <c r="B28">
        <v>2025</v>
      </c>
      <c r="C28" t="s">
        <v>34</v>
      </c>
      <c r="D28">
        <v>2787</v>
      </c>
      <c r="E28">
        <v>18</v>
      </c>
      <c r="F28">
        <v>3</v>
      </c>
      <c r="G28">
        <v>183</v>
      </c>
      <c r="H28" s="10">
        <v>2241.08</v>
      </c>
      <c r="I28">
        <v>0</v>
      </c>
      <c r="J28" t="s">
        <v>13</v>
      </c>
      <c r="K28" t="s">
        <v>18</v>
      </c>
      <c r="L28" t="s">
        <v>1</v>
      </c>
      <c r="M28" t="s">
        <v>0</v>
      </c>
    </row>
    <row r="29" spans="1:13" x14ac:dyDescent="0.25">
      <c r="A29" s="9">
        <v>45685</v>
      </c>
      <c r="B29">
        <v>2025</v>
      </c>
      <c r="C29" t="s">
        <v>34</v>
      </c>
      <c r="D29">
        <v>795</v>
      </c>
      <c r="E29">
        <v>10</v>
      </c>
      <c r="F29">
        <v>50</v>
      </c>
      <c r="G29">
        <v>283</v>
      </c>
      <c r="H29" s="10">
        <v>1570.61</v>
      </c>
      <c r="I29">
        <v>0</v>
      </c>
      <c r="J29" t="s">
        <v>13</v>
      </c>
      <c r="K29" t="s">
        <v>18</v>
      </c>
      <c r="L29" t="s">
        <v>10</v>
      </c>
      <c r="M29" t="s">
        <v>0</v>
      </c>
    </row>
    <row r="30" spans="1:13" x14ac:dyDescent="0.25">
      <c r="A30" s="9">
        <v>45686</v>
      </c>
      <c r="B30">
        <v>2025</v>
      </c>
      <c r="C30" t="s">
        <v>34</v>
      </c>
      <c r="D30">
        <v>3968</v>
      </c>
      <c r="E30">
        <v>27</v>
      </c>
      <c r="F30">
        <v>15</v>
      </c>
      <c r="G30">
        <v>67</v>
      </c>
      <c r="H30" s="10">
        <v>379.61</v>
      </c>
      <c r="I30">
        <v>0</v>
      </c>
      <c r="J30" t="s">
        <v>13</v>
      </c>
      <c r="K30" t="s">
        <v>18</v>
      </c>
      <c r="L30" t="s">
        <v>10</v>
      </c>
      <c r="M30" t="s">
        <v>0</v>
      </c>
    </row>
    <row r="31" spans="1:13" x14ac:dyDescent="0.25">
      <c r="A31" s="9">
        <v>45687</v>
      </c>
      <c r="B31">
        <v>2025</v>
      </c>
      <c r="C31" t="s">
        <v>34</v>
      </c>
      <c r="D31">
        <v>3440</v>
      </c>
      <c r="E31">
        <v>28</v>
      </c>
      <c r="F31">
        <v>19</v>
      </c>
      <c r="G31">
        <v>255</v>
      </c>
      <c r="H31" s="10">
        <v>1281.44</v>
      </c>
      <c r="I31">
        <v>0</v>
      </c>
      <c r="J31" t="s">
        <v>3</v>
      </c>
      <c r="K31" t="s">
        <v>18</v>
      </c>
      <c r="L31" t="s">
        <v>17</v>
      </c>
      <c r="M31" t="s">
        <v>0</v>
      </c>
    </row>
    <row r="32" spans="1:13" x14ac:dyDescent="0.25">
      <c r="A32" s="9">
        <v>45688</v>
      </c>
      <c r="B32">
        <v>2025</v>
      </c>
      <c r="C32" t="s">
        <v>34</v>
      </c>
      <c r="D32">
        <v>4963</v>
      </c>
      <c r="E32">
        <v>14</v>
      </c>
      <c r="F32">
        <v>22</v>
      </c>
      <c r="G32">
        <v>196</v>
      </c>
      <c r="H32" s="10">
        <v>1199.8499999999999</v>
      </c>
      <c r="I32">
        <v>0</v>
      </c>
      <c r="J32" t="s">
        <v>3</v>
      </c>
      <c r="K32" t="s">
        <v>18</v>
      </c>
      <c r="L32" t="s">
        <v>17</v>
      </c>
      <c r="M32" t="s">
        <v>0</v>
      </c>
    </row>
    <row r="33" spans="1:13" x14ac:dyDescent="0.25">
      <c r="A33" s="9">
        <v>45689</v>
      </c>
      <c r="B33">
        <v>2025</v>
      </c>
      <c r="C33" t="s">
        <v>32</v>
      </c>
      <c r="D33">
        <v>3826</v>
      </c>
      <c r="E33">
        <v>26</v>
      </c>
      <c r="F33">
        <v>23</v>
      </c>
      <c r="G33">
        <v>303</v>
      </c>
      <c r="H33" s="10">
        <v>463.56</v>
      </c>
      <c r="I33">
        <v>0</v>
      </c>
      <c r="J33" t="s">
        <v>13</v>
      </c>
      <c r="K33" t="s">
        <v>8</v>
      </c>
      <c r="L33" t="s">
        <v>17</v>
      </c>
      <c r="M33" t="s">
        <v>0</v>
      </c>
    </row>
    <row r="34" spans="1:13" x14ac:dyDescent="0.25">
      <c r="A34" s="9">
        <v>45690</v>
      </c>
      <c r="B34">
        <v>2025</v>
      </c>
      <c r="C34" t="s">
        <v>32</v>
      </c>
      <c r="D34">
        <v>612</v>
      </c>
      <c r="E34">
        <v>32</v>
      </c>
      <c r="F34">
        <v>16</v>
      </c>
      <c r="G34">
        <v>313</v>
      </c>
      <c r="H34" s="10">
        <v>2357.34</v>
      </c>
      <c r="I34">
        <v>0</v>
      </c>
      <c r="J34" t="s">
        <v>13</v>
      </c>
      <c r="K34" t="s">
        <v>18</v>
      </c>
      <c r="L34" t="s">
        <v>7</v>
      </c>
      <c r="M34" t="s">
        <v>0</v>
      </c>
    </row>
    <row r="35" spans="1:13" x14ac:dyDescent="0.25">
      <c r="A35" s="9">
        <v>45691</v>
      </c>
      <c r="B35">
        <v>2025</v>
      </c>
      <c r="C35" t="s">
        <v>32</v>
      </c>
      <c r="D35">
        <v>886</v>
      </c>
      <c r="E35">
        <v>25</v>
      </c>
      <c r="F35">
        <v>40</v>
      </c>
      <c r="G35">
        <v>297</v>
      </c>
      <c r="H35" s="10">
        <v>83.1</v>
      </c>
      <c r="I35">
        <v>0</v>
      </c>
      <c r="J35" t="s">
        <v>13</v>
      </c>
      <c r="K35" t="s">
        <v>2</v>
      </c>
      <c r="L35" t="s">
        <v>10</v>
      </c>
      <c r="M35" t="s">
        <v>0</v>
      </c>
    </row>
    <row r="36" spans="1:13" x14ac:dyDescent="0.25">
      <c r="A36" s="9">
        <v>45692</v>
      </c>
      <c r="B36">
        <v>2025</v>
      </c>
      <c r="C36" t="s">
        <v>32</v>
      </c>
      <c r="D36">
        <v>1621</v>
      </c>
      <c r="E36">
        <v>10</v>
      </c>
      <c r="F36">
        <v>33</v>
      </c>
      <c r="G36">
        <v>282</v>
      </c>
      <c r="H36" s="10">
        <v>15.34</v>
      </c>
      <c r="I36">
        <v>0</v>
      </c>
      <c r="J36" t="s">
        <v>3</v>
      </c>
      <c r="K36" t="s">
        <v>18</v>
      </c>
      <c r="L36" t="s">
        <v>10</v>
      </c>
      <c r="M36" t="s">
        <v>0</v>
      </c>
    </row>
    <row r="37" spans="1:13" x14ac:dyDescent="0.25">
      <c r="A37" s="9">
        <v>45693</v>
      </c>
      <c r="B37">
        <v>2025</v>
      </c>
      <c r="C37" t="s">
        <v>32</v>
      </c>
      <c r="D37">
        <v>4148</v>
      </c>
      <c r="E37">
        <v>36</v>
      </c>
      <c r="F37">
        <v>10</v>
      </c>
      <c r="G37">
        <v>306</v>
      </c>
      <c r="H37" s="10">
        <v>241.04</v>
      </c>
      <c r="I37">
        <v>0</v>
      </c>
      <c r="J37" t="s">
        <v>3</v>
      </c>
      <c r="K37" t="s">
        <v>11</v>
      </c>
      <c r="L37" t="s">
        <v>10</v>
      </c>
      <c r="M37" t="s">
        <v>0</v>
      </c>
    </row>
    <row r="38" spans="1:13" x14ac:dyDescent="0.25">
      <c r="A38" s="9">
        <v>45694</v>
      </c>
      <c r="B38">
        <v>2025</v>
      </c>
      <c r="C38" t="s">
        <v>32</v>
      </c>
      <c r="D38">
        <v>4820</v>
      </c>
      <c r="E38">
        <v>34</v>
      </c>
      <c r="F38">
        <v>29</v>
      </c>
      <c r="G38">
        <v>276</v>
      </c>
      <c r="H38" s="10">
        <v>1642.88</v>
      </c>
      <c r="I38">
        <v>0</v>
      </c>
      <c r="J38" t="s">
        <v>13</v>
      </c>
      <c r="K38" t="s">
        <v>11</v>
      </c>
      <c r="L38" t="s">
        <v>7</v>
      </c>
      <c r="M38" t="s">
        <v>0</v>
      </c>
    </row>
    <row r="39" spans="1:13" x14ac:dyDescent="0.25">
      <c r="A39" s="9">
        <v>45695</v>
      </c>
      <c r="B39">
        <v>2025</v>
      </c>
      <c r="C39" t="s">
        <v>32</v>
      </c>
      <c r="D39">
        <v>4831</v>
      </c>
      <c r="E39">
        <v>12</v>
      </c>
      <c r="F39">
        <v>37</v>
      </c>
      <c r="G39">
        <v>80</v>
      </c>
      <c r="H39" s="10">
        <v>1639.72</v>
      </c>
      <c r="I39">
        <v>0</v>
      </c>
      <c r="J39" t="s">
        <v>3</v>
      </c>
      <c r="K39" t="s">
        <v>11</v>
      </c>
      <c r="L39" t="s">
        <v>10</v>
      </c>
      <c r="M39" t="s">
        <v>0</v>
      </c>
    </row>
    <row r="40" spans="1:13" x14ac:dyDescent="0.25">
      <c r="A40" s="9">
        <v>45696</v>
      </c>
      <c r="B40">
        <v>2025</v>
      </c>
      <c r="C40" t="s">
        <v>32</v>
      </c>
      <c r="D40">
        <v>4349</v>
      </c>
      <c r="E40">
        <v>35</v>
      </c>
      <c r="F40">
        <v>8</v>
      </c>
      <c r="G40">
        <v>294</v>
      </c>
      <c r="H40" s="10">
        <v>1436.77</v>
      </c>
      <c r="I40">
        <v>0</v>
      </c>
      <c r="J40" t="s">
        <v>13</v>
      </c>
      <c r="K40" t="s">
        <v>2</v>
      </c>
      <c r="L40" t="s">
        <v>10</v>
      </c>
      <c r="M40" t="s">
        <v>0</v>
      </c>
    </row>
    <row r="41" spans="1:13" x14ac:dyDescent="0.25">
      <c r="A41" s="9">
        <v>45697</v>
      </c>
      <c r="B41">
        <v>2025</v>
      </c>
      <c r="C41" t="s">
        <v>32</v>
      </c>
      <c r="D41">
        <v>2946</v>
      </c>
      <c r="E41">
        <v>27</v>
      </c>
      <c r="F41">
        <v>40</v>
      </c>
      <c r="G41">
        <v>74</v>
      </c>
      <c r="H41" s="10">
        <v>2125.14</v>
      </c>
      <c r="I41">
        <v>0</v>
      </c>
      <c r="J41" t="s">
        <v>13</v>
      </c>
      <c r="K41" t="s">
        <v>18</v>
      </c>
      <c r="L41" t="s">
        <v>1</v>
      </c>
      <c r="M41" t="s">
        <v>0</v>
      </c>
    </row>
    <row r="42" spans="1:13" x14ac:dyDescent="0.25">
      <c r="A42" s="9">
        <v>45698</v>
      </c>
      <c r="B42">
        <v>2025</v>
      </c>
      <c r="C42" t="s">
        <v>32</v>
      </c>
      <c r="D42">
        <v>2727</v>
      </c>
      <c r="E42">
        <v>38</v>
      </c>
      <c r="F42">
        <v>36</v>
      </c>
      <c r="G42">
        <v>281</v>
      </c>
      <c r="H42" s="10">
        <v>640.48</v>
      </c>
      <c r="I42">
        <v>0</v>
      </c>
      <c r="J42" t="s">
        <v>13</v>
      </c>
      <c r="K42" t="s">
        <v>18</v>
      </c>
      <c r="L42" t="s">
        <v>17</v>
      </c>
      <c r="M42" t="s">
        <v>0</v>
      </c>
    </row>
    <row r="43" spans="1:13" x14ac:dyDescent="0.25">
      <c r="A43" s="9">
        <v>45699</v>
      </c>
      <c r="B43">
        <v>2025</v>
      </c>
      <c r="C43" t="s">
        <v>32</v>
      </c>
      <c r="D43">
        <v>4814</v>
      </c>
      <c r="E43">
        <v>5</v>
      </c>
      <c r="F43">
        <v>10</v>
      </c>
      <c r="G43">
        <v>96</v>
      </c>
      <c r="H43" s="10">
        <v>1672.38</v>
      </c>
      <c r="I43">
        <v>0</v>
      </c>
      <c r="J43" t="s">
        <v>13</v>
      </c>
      <c r="K43" t="s">
        <v>2</v>
      </c>
      <c r="L43" t="s">
        <v>15</v>
      </c>
      <c r="M43" t="s">
        <v>0</v>
      </c>
    </row>
    <row r="44" spans="1:13" x14ac:dyDescent="0.25">
      <c r="A44" s="9">
        <v>45700</v>
      </c>
      <c r="B44">
        <v>2025</v>
      </c>
      <c r="C44" t="s">
        <v>32</v>
      </c>
      <c r="D44">
        <v>581</v>
      </c>
      <c r="E44">
        <v>36</v>
      </c>
      <c r="F44">
        <v>19</v>
      </c>
      <c r="G44">
        <v>327</v>
      </c>
      <c r="H44" s="10">
        <v>1492.9</v>
      </c>
      <c r="I44">
        <v>0</v>
      </c>
      <c r="J44" t="s">
        <v>3</v>
      </c>
      <c r="K44" t="s">
        <v>8</v>
      </c>
      <c r="L44" t="s">
        <v>7</v>
      </c>
      <c r="M44" t="s">
        <v>0</v>
      </c>
    </row>
    <row r="45" spans="1:13" x14ac:dyDescent="0.25">
      <c r="A45" s="9">
        <v>45701</v>
      </c>
      <c r="B45">
        <v>2025</v>
      </c>
      <c r="C45" t="s">
        <v>32</v>
      </c>
      <c r="D45">
        <v>3986</v>
      </c>
      <c r="E45">
        <v>22</v>
      </c>
      <c r="F45">
        <v>2</v>
      </c>
      <c r="G45">
        <v>175</v>
      </c>
      <c r="H45" s="10">
        <v>823.24</v>
      </c>
      <c r="I45">
        <v>0</v>
      </c>
      <c r="J45" t="s">
        <v>13</v>
      </c>
      <c r="K45" t="s">
        <v>18</v>
      </c>
      <c r="L45" t="s">
        <v>7</v>
      </c>
      <c r="M45" t="s">
        <v>0</v>
      </c>
    </row>
    <row r="46" spans="1:13" x14ac:dyDescent="0.25">
      <c r="A46" s="9">
        <v>45702</v>
      </c>
      <c r="B46">
        <v>2025</v>
      </c>
      <c r="C46" t="s">
        <v>32</v>
      </c>
      <c r="D46">
        <v>4137</v>
      </c>
      <c r="E46">
        <v>33</v>
      </c>
      <c r="F46">
        <v>3</v>
      </c>
      <c r="G46">
        <v>236</v>
      </c>
      <c r="H46" s="10">
        <v>1483.82</v>
      </c>
      <c r="I46">
        <v>0</v>
      </c>
      <c r="J46" t="s">
        <v>3</v>
      </c>
      <c r="K46" t="s">
        <v>18</v>
      </c>
      <c r="L46" t="s">
        <v>1</v>
      </c>
      <c r="M46" t="s">
        <v>0</v>
      </c>
    </row>
    <row r="47" spans="1:13" x14ac:dyDescent="0.25">
      <c r="A47" s="9">
        <v>45703</v>
      </c>
      <c r="B47">
        <v>2025</v>
      </c>
      <c r="C47" t="s">
        <v>32</v>
      </c>
      <c r="D47">
        <v>677</v>
      </c>
      <c r="E47">
        <v>17</v>
      </c>
      <c r="F47">
        <v>-4</v>
      </c>
      <c r="G47">
        <v>196</v>
      </c>
      <c r="H47" s="10">
        <v>1209.4000000000001</v>
      </c>
      <c r="I47">
        <v>0</v>
      </c>
      <c r="J47" t="s">
        <v>3</v>
      </c>
      <c r="K47" t="s">
        <v>18</v>
      </c>
      <c r="L47" t="s">
        <v>7</v>
      </c>
      <c r="M47" t="s">
        <v>0</v>
      </c>
    </row>
    <row r="48" spans="1:13" x14ac:dyDescent="0.25">
      <c r="A48" s="9">
        <v>45704</v>
      </c>
      <c r="B48">
        <v>2025</v>
      </c>
      <c r="C48" t="s">
        <v>32</v>
      </c>
      <c r="D48">
        <v>3294</v>
      </c>
      <c r="E48">
        <v>29</v>
      </c>
      <c r="F48">
        <v>38</v>
      </c>
      <c r="G48">
        <v>294</v>
      </c>
      <c r="H48" s="10">
        <v>2114.83</v>
      </c>
      <c r="I48">
        <v>0</v>
      </c>
      <c r="J48" t="s">
        <v>3</v>
      </c>
      <c r="K48" t="s">
        <v>11</v>
      </c>
      <c r="L48" t="s">
        <v>1</v>
      </c>
      <c r="M48" t="s">
        <v>0</v>
      </c>
    </row>
    <row r="49" spans="1:13" x14ac:dyDescent="0.25">
      <c r="A49" s="9">
        <v>45705</v>
      </c>
      <c r="B49">
        <v>2025</v>
      </c>
      <c r="C49" t="s">
        <v>32</v>
      </c>
      <c r="D49">
        <v>734</v>
      </c>
      <c r="E49">
        <v>6</v>
      </c>
      <c r="F49">
        <v>14</v>
      </c>
      <c r="G49">
        <v>299</v>
      </c>
      <c r="H49" s="10">
        <v>1727.97</v>
      </c>
      <c r="I49">
        <v>0</v>
      </c>
      <c r="J49" t="s">
        <v>13</v>
      </c>
      <c r="K49" t="s">
        <v>18</v>
      </c>
      <c r="L49" t="s">
        <v>10</v>
      </c>
      <c r="M49" t="s">
        <v>0</v>
      </c>
    </row>
    <row r="50" spans="1:13" x14ac:dyDescent="0.25">
      <c r="A50" s="9">
        <v>45706</v>
      </c>
      <c r="B50">
        <v>2025</v>
      </c>
      <c r="C50" t="s">
        <v>32</v>
      </c>
      <c r="D50">
        <v>1820</v>
      </c>
      <c r="E50">
        <v>25</v>
      </c>
      <c r="F50">
        <v>-1</v>
      </c>
      <c r="G50">
        <v>296</v>
      </c>
      <c r="H50" s="10">
        <v>1028.99</v>
      </c>
      <c r="I50">
        <v>0</v>
      </c>
      <c r="J50" t="s">
        <v>13</v>
      </c>
      <c r="K50" t="s">
        <v>11</v>
      </c>
      <c r="L50" t="s">
        <v>7</v>
      </c>
      <c r="M50" t="s">
        <v>0</v>
      </c>
    </row>
    <row r="51" spans="1:13" x14ac:dyDescent="0.25">
      <c r="A51" s="9">
        <v>45707</v>
      </c>
      <c r="B51">
        <v>2025</v>
      </c>
      <c r="C51" t="s">
        <v>32</v>
      </c>
      <c r="D51">
        <v>1406</v>
      </c>
      <c r="E51">
        <v>16</v>
      </c>
      <c r="F51">
        <v>30</v>
      </c>
      <c r="G51">
        <v>86</v>
      </c>
      <c r="H51" s="10">
        <v>691.81</v>
      </c>
      <c r="I51">
        <v>0</v>
      </c>
      <c r="J51" t="s">
        <v>13</v>
      </c>
      <c r="K51" t="s">
        <v>18</v>
      </c>
      <c r="L51" t="s">
        <v>17</v>
      </c>
      <c r="M51" t="s">
        <v>0</v>
      </c>
    </row>
    <row r="52" spans="1:13" x14ac:dyDescent="0.25">
      <c r="A52" s="9">
        <v>45708</v>
      </c>
      <c r="B52">
        <v>2025</v>
      </c>
      <c r="C52" t="s">
        <v>32</v>
      </c>
      <c r="D52">
        <v>3252</v>
      </c>
      <c r="E52">
        <v>11</v>
      </c>
      <c r="F52">
        <v>-2</v>
      </c>
      <c r="G52">
        <v>113</v>
      </c>
      <c r="H52" s="10">
        <v>1431.52</v>
      </c>
      <c r="I52">
        <v>0</v>
      </c>
      <c r="J52" t="s">
        <v>3</v>
      </c>
      <c r="K52" t="s">
        <v>18</v>
      </c>
      <c r="L52" t="s">
        <v>17</v>
      </c>
      <c r="M52" t="s">
        <v>0</v>
      </c>
    </row>
    <row r="53" spans="1:13" x14ac:dyDescent="0.25">
      <c r="A53" s="9">
        <v>45709</v>
      </c>
      <c r="B53">
        <v>2025</v>
      </c>
      <c r="C53" t="s">
        <v>32</v>
      </c>
      <c r="D53">
        <v>2752</v>
      </c>
      <c r="E53">
        <v>22</v>
      </c>
      <c r="F53">
        <v>11</v>
      </c>
      <c r="G53">
        <v>437</v>
      </c>
      <c r="H53" s="10">
        <v>644.92999999999995</v>
      </c>
      <c r="I53">
        <v>0</v>
      </c>
      <c r="J53" t="s">
        <v>13</v>
      </c>
      <c r="K53" t="s">
        <v>18</v>
      </c>
      <c r="L53" t="s">
        <v>7</v>
      </c>
      <c r="M53" t="s">
        <v>0</v>
      </c>
    </row>
    <row r="54" spans="1:13" x14ac:dyDescent="0.25">
      <c r="A54" s="9">
        <v>45710</v>
      </c>
      <c r="B54">
        <v>2025</v>
      </c>
      <c r="C54" t="s">
        <v>32</v>
      </c>
      <c r="D54">
        <v>4336</v>
      </c>
      <c r="E54">
        <v>20</v>
      </c>
      <c r="F54">
        <v>30</v>
      </c>
      <c r="G54">
        <v>169</v>
      </c>
      <c r="H54" s="10">
        <v>2264.3000000000002</v>
      </c>
      <c r="I54">
        <v>0</v>
      </c>
      <c r="J54" t="s">
        <v>13</v>
      </c>
      <c r="K54" t="s">
        <v>18</v>
      </c>
      <c r="L54" t="s">
        <v>7</v>
      </c>
      <c r="M54" t="s">
        <v>0</v>
      </c>
    </row>
    <row r="55" spans="1:13" x14ac:dyDescent="0.25">
      <c r="A55" s="9">
        <v>45711</v>
      </c>
      <c r="B55">
        <v>2025</v>
      </c>
      <c r="C55" t="s">
        <v>32</v>
      </c>
      <c r="D55">
        <v>2102</v>
      </c>
      <c r="E55">
        <v>15</v>
      </c>
      <c r="F55">
        <v>41</v>
      </c>
      <c r="G55">
        <v>367</v>
      </c>
      <c r="H55" s="10">
        <v>22.85</v>
      </c>
      <c r="I55">
        <v>0</v>
      </c>
      <c r="J55" t="s">
        <v>13</v>
      </c>
      <c r="K55" t="s">
        <v>18</v>
      </c>
      <c r="L55" t="s">
        <v>17</v>
      </c>
      <c r="M55" t="s">
        <v>0</v>
      </c>
    </row>
    <row r="56" spans="1:13" x14ac:dyDescent="0.25">
      <c r="A56" s="9">
        <v>45712</v>
      </c>
      <c r="B56">
        <v>2025</v>
      </c>
      <c r="C56" t="s">
        <v>32</v>
      </c>
      <c r="D56">
        <v>1075</v>
      </c>
      <c r="E56">
        <v>25</v>
      </c>
      <c r="F56">
        <v>21</v>
      </c>
      <c r="G56">
        <v>188</v>
      </c>
      <c r="H56" s="10">
        <v>2408.1</v>
      </c>
      <c r="I56">
        <v>0</v>
      </c>
      <c r="J56" t="s">
        <v>3</v>
      </c>
      <c r="K56" t="s">
        <v>8</v>
      </c>
      <c r="L56" t="s">
        <v>10</v>
      </c>
      <c r="M56" t="s">
        <v>0</v>
      </c>
    </row>
    <row r="57" spans="1:13" x14ac:dyDescent="0.25">
      <c r="A57" s="9">
        <v>45713</v>
      </c>
      <c r="B57">
        <v>2025</v>
      </c>
      <c r="C57" t="s">
        <v>32</v>
      </c>
      <c r="D57">
        <v>1570</v>
      </c>
      <c r="E57">
        <v>36</v>
      </c>
      <c r="F57">
        <v>8</v>
      </c>
      <c r="G57">
        <v>293</v>
      </c>
      <c r="H57" s="10">
        <v>917.63</v>
      </c>
      <c r="I57">
        <v>0</v>
      </c>
      <c r="J57" t="s">
        <v>13</v>
      </c>
      <c r="K57" t="s">
        <v>18</v>
      </c>
      <c r="L57" t="s">
        <v>7</v>
      </c>
      <c r="M57" t="s">
        <v>0</v>
      </c>
    </row>
    <row r="58" spans="1:13" x14ac:dyDescent="0.25">
      <c r="A58" s="9">
        <v>45714</v>
      </c>
      <c r="B58">
        <v>2025</v>
      </c>
      <c r="C58" t="s">
        <v>32</v>
      </c>
      <c r="D58">
        <v>4582</v>
      </c>
      <c r="E58">
        <v>30</v>
      </c>
      <c r="F58">
        <v>4</v>
      </c>
      <c r="G58">
        <v>310</v>
      </c>
      <c r="H58" s="10">
        <v>1130.06</v>
      </c>
      <c r="I58">
        <v>0</v>
      </c>
      <c r="J58" t="s">
        <v>3</v>
      </c>
      <c r="K58" t="s">
        <v>18</v>
      </c>
      <c r="L58" t="s">
        <v>7</v>
      </c>
      <c r="M58" t="s">
        <v>0</v>
      </c>
    </row>
    <row r="59" spans="1:13" x14ac:dyDescent="0.25">
      <c r="A59" s="9">
        <v>45715</v>
      </c>
      <c r="B59">
        <v>2025</v>
      </c>
      <c r="C59" t="s">
        <v>32</v>
      </c>
      <c r="D59">
        <v>1332</v>
      </c>
      <c r="E59">
        <v>26</v>
      </c>
      <c r="F59">
        <v>0</v>
      </c>
      <c r="G59">
        <v>71</v>
      </c>
      <c r="H59" s="10">
        <v>793.71</v>
      </c>
      <c r="I59">
        <v>0</v>
      </c>
      <c r="J59" t="s">
        <v>3</v>
      </c>
      <c r="K59" t="s">
        <v>18</v>
      </c>
      <c r="L59" t="s">
        <v>7</v>
      </c>
      <c r="M59" t="s">
        <v>0</v>
      </c>
    </row>
    <row r="60" spans="1:13" x14ac:dyDescent="0.25">
      <c r="A60" s="9">
        <v>45716</v>
      </c>
      <c r="B60">
        <v>2025</v>
      </c>
      <c r="C60" t="s">
        <v>32</v>
      </c>
      <c r="D60">
        <v>3023</v>
      </c>
      <c r="E60">
        <v>8</v>
      </c>
      <c r="F60">
        <v>22</v>
      </c>
      <c r="G60">
        <v>212</v>
      </c>
      <c r="H60" s="10">
        <v>1870.72</v>
      </c>
      <c r="I60">
        <v>0</v>
      </c>
      <c r="J60" t="s">
        <v>3</v>
      </c>
      <c r="K60" t="s">
        <v>8</v>
      </c>
      <c r="L60" t="s">
        <v>10</v>
      </c>
      <c r="M60" t="s">
        <v>0</v>
      </c>
    </row>
    <row r="61" spans="1:13" x14ac:dyDescent="0.25">
      <c r="A61" s="9">
        <v>45717</v>
      </c>
      <c r="B61">
        <v>2025</v>
      </c>
      <c r="C61" t="s">
        <v>31</v>
      </c>
      <c r="D61">
        <v>3544</v>
      </c>
      <c r="E61">
        <v>30</v>
      </c>
      <c r="F61">
        <v>7</v>
      </c>
      <c r="G61">
        <v>232</v>
      </c>
      <c r="H61" s="10">
        <v>2136.92</v>
      </c>
      <c r="I61">
        <v>0</v>
      </c>
      <c r="J61" t="s">
        <v>13</v>
      </c>
      <c r="K61" t="s">
        <v>18</v>
      </c>
      <c r="L61" t="s">
        <v>17</v>
      </c>
      <c r="M61" t="s">
        <v>0</v>
      </c>
    </row>
    <row r="62" spans="1:13" x14ac:dyDescent="0.25">
      <c r="A62" s="9">
        <v>45718</v>
      </c>
      <c r="B62">
        <v>2025</v>
      </c>
      <c r="C62" t="s">
        <v>31</v>
      </c>
      <c r="D62">
        <v>3842</v>
      </c>
      <c r="E62">
        <v>8</v>
      </c>
      <c r="F62">
        <v>-4</v>
      </c>
      <c r="G62">
        <v>187</v>
      </c>
      <c r="H62" s="10">
        <v>2110.41</v>
      </c>
      <c r="I62">
        <v>0</v>
      </c>
      <c r="J62" t="s">
        <v>13</v>
      </c>
      <c r="K62" t="s">
        <v>18</v>
      </c>
      <c r="L62" t="s">
        <v>10</v>
      </c>
      <c r="M62" t="s">
        <v>0</v>
      </c>
    </row>
    <row r="63" spans="1:13" x14ac:dyDescent="0.25">
      <c r="A63" s="9">
        <v>45719</v>
      </c>
      <c r="B63">
        <v>2025</v>
      </c>
      <c r="C63" t="s">
        <v>31</v>
      </c>
      <c r="D63">
        <v>4122</v>
      </c>
      <c r="E63">
        <v>14</v>
      </c>
      <c r="F63">
        <v>6</v>
      </c>
      <c r="G63">
        <v>449</v>
      </c>
      <c r="H63" s="10">
        <v>14.11</v>
      </c>
      <c r="I63">
        <v>0</v>
      </c>
      <c r="J63" t="s">
        <v>13</v>
      </c>
      <c r="K63" t="s">
        <v>18</v>
      </c>
      <c r="L63" t="s">
        <v>15</v>
      </c>
      <c r="M63" t="s">
        <v>0</v>
      </c>
    </row>
    <row r="64" spans="1:13" x14ac:dyDescent="0.25">
      <c r="A64" s="9">
        <v>45720</v>
      </c>
      <c r="B64">
        <v>2025</v>
      </c>
      <c r="C64" t="s">
        <v>31</v>
      </c>
      <c r="D64">
        <v>569</v>
      </c>
      <c r="E64">
        <v>29</v>
      </c>
      <c r="F64">
        <v>1</v>
      </c>
      <c r="G64">
        <v>284</v>
      </c>
      <c r="H64" s="10">
        <v>982.22</v>
      </c>
      <c r="I64">
        <v>0</v>
      </c>
      <c r="J64" t="s">
        <v>13</v>
      </c>
      <c r="K64" t="s">
        <v>18</v>
      </c>
      <c r="L64" t="s">
        <v>10</v>
      </c>
      <c r="M64" t="s">
        <v>0</v>
      </c>
    </row>
    <row r="65" spans="1:13" x14ac:dyDescent="0.25">
      <c r="A65" s="9">
        <v>45721</v>
      </c>
      <c r="B65">
        <v>2025</v>
      </c>
      <c r="C65" t="s">
        <v>31</v>
      </c>
      <c r="D65">
        <v>1913</v>
      </c>
      <c r="E65">
        <v>24</v>
      </c>
      <c r="F65">
        <v>27</v>
      </c>
      <c r="G65">
        <v>405</v>
      </c>
      <c r="H65" s="10">
        <v>1061.56</v>
      </c>
      <c r="I65">
        <v>0</v>
      </c>
      <c r="J65" t="s">
        <v>3</v>
      </c>
      <c r="K65" t="s">
        <v>18</v>
      </c>
      <c r="L65" t="s">
        <v>17</v>
      </c>
      <c r="M65" t="s">
        <v>0</v>
      </c>
    </row>
    <row r="66" spans="1:13" x14ac:dyDescent="0.25">
      <c r="A66" s="9">
        <v>45722</v>
      </c>
      <c r="B66">
        <v>2025</v>
      </c>
      <c r="C66" t="s">
        <v>31</v>
      </c>
      <c r="D66">
        <v>2672</v>
      </c>
      <c r="E66">
        <v>45</v>
      </c>
      <c r="F66">
        <v>11</v>
      </c>
      <c r="G66">
        <v>444</v>
      </c>
      <c r="H66" s="10">
        <v>1747.1</v>
      </c>
      <c r="I66">
        <v>0</v>
      </c>
      <c r="J66" t="s">
        <v>13</v>
      </c>
      <c r="K66" t="s">
        <v>18</v>
      </c>
      <c r="L66" t="s">
        <v>21</v>
      </c>
      <c r="M66" t="s">
        <v>0</v>
      </c>
    </row>
    <row r="67" spans="1:13" x14ac:dyDescent="0.25">
      <c r="A67" s="9">
        <v>45723</v>
      </c>
      <c r="B67">
        <v>2025</v>
      </c>
      <c r="C67" t="s">
        <v>31</v>
      </c>
      <c r="D67">
        <v>2670</v>
      </c>
      <c r="E67">
        <v>40</v>
      </c>
      <c r="F67">
        <v>-5</v>
      </c>
      <c r="G67">
        <v>250</v>
      </c>
      <c r="H67" s="10">
        <v>1572.16</v>
      </c>
      <c r="I67">
        <v>0</v>
      </c>
      <c r="J67" t="s">
        <v>13</v>
      </c>
      <c r="K67" t="s">
        <v>2</v>
      </c>
      <c r="L67" t="s">
        <v>17</v>
      </c>
      <c r="M67" t="s">
        <v>0</v>
      </c>
    </row>
    <row r="68" spans="1:13" x14ac:dyDescent="0.25">
      <c r="A68" s="9">
        <v>45724</v>
      </c>
      <c r="B68">
        <v>2025</v>
      </c>
      <c r="C68" t="s">
        <v>31</v>
      </c>
      <c r="D68">
        <v>1082</v>
      </c>
      <c r="E68">
        <v>34</v>
      </c>
      <c r="F68">
        <v>23</v>
      </c>
      <c r="G68">
        <v>332</v>
      </c>
      <c r="H68" s="10">
        <v>1887.29</v>
      </c>
      <c r="I68">
        <v>0</v>
      </c>
      <c r="J68" t="s">
        <v>13</v>
      </c>
      <c r="K68" t="s">
        <v>18</v>
      </c>
      <c r="L68" t="s">
        <v>10</v>
      </c>
      <c r="M68" t="s">
        <v>0</v>
      </c>
    </row>
    <row r="69" spans="1:13" x14ac:dyDescent="0.25">
      <c r="A69" s="9">
        <v>45725</v>
      </c>
      <c r="B69">
        <v>2025</v>
      </c>
      <c r="C69" t="s">
        <v>31</v>
      </c>
      <c r="D69">
        <v>864</v>
      </c>
      <c r="E69">
        <v>40</v>
      </c>
      <c r="F69">
        <v>13</v>
      </c>
      <c r="G69">
        <v>34</v>
      </c>
      <c r="H69" s="10">
        <v>552.51</v>
      </c>
      <c r="I69">
        <v>0</v>
      </c>
      <c r="J69" t="s">
        <v>13</v>
      </c>
      <c r="K69" t="s">
        <v>18</v>
      </c>
      <c r="L69" t="s">
        <v>7</v>
      </c>
      <c r="M69" t="s">
        <v>0</v>
      </c>
    </row>
    <row r="70" spans="1:13" x14ac:dyDescent="0.25">
      <c r="A70" s="9">
        <v>45726</v>
      </c>
      <c r="B70">
        <v>2025</v>
      </c>
      <c r="C70" t="s">
        <v>31</v>
      </c>
      <c r="D70">
        <v>3179</v>
      </c>
      <c r="E70">
        <v>25</v>
      </c>
      <c r="F70">
        <v>38</v>
      </c>
      <c r="G70">
        <v>388</v>
      </c>
      <c r="H70" s="10">
        <v>769.65</v>
      </c>
      <c r="I70">
        <v>0</v>
      </c>
      <c r="J70" t="s">
        <v>3</v>
      </c>
      <c r="K70" t="s">
        <v>11</v>
      </c>
      <c r="L70" t="s">
        <v>7</v>
      </c>
      <c r="M70" t="s">
        <v>0</v>
      </c>
    </row>
    <row r="71" spans="1:13" x14ac:dyDescent="0.25">
      <c r="A71" s="9">
        <v>45727</v>
      </c>
      <c r="B71">
        <v>2025</v>
      </c>
      <c r="C71" t="s">
        <v>31</v>
      </c>
      <c r="D71">
        <v>4974</v>
      </c>
      <c r="E71">
        <v>22</v>
      </c>
      <c r="F71">
        <v>18</v>
      </c>
      <c r="G71">
        <v>328</v>
      </c>
      <c r="H71" s="10">
        <v>859.42</v>
      </c>
      <c r="I71">
        <v>0</v>
      </c>
      <c r="J71" t="s">
        <v>3</v>
      </c>
      <c r="K71" t="s">
        <v>18</v>
      </c>
      <c r="L71" t="s">
        <v>10</v>
      </c>
      <c r="M71" t="s">
        <v>0</v>
      </c>
    </row>
    <row r="72" spans="1:13" x14ac:dyDescent="0.25">
      <c r="A72" s="9">
        <v>45728</v>
      </c>
      <c r="B72">
        <v>2025</v>
      </c>
      <c r="C72" t="s">
        <v>31</v>
      </c>
      <c r="D72">
        <v>3837</v>
      </c>
      <c r="E72">
        <v>5</v>
      </c>
      <c r="F72">
        <v>44</v>
      </c>
      <c r="G72">
        <v>182</v>
      </c>
      <c r="H72" s="10">
        <v>1773.15</v>
      </c>
      <c r="I72">
        <v>0</v>
      </c>
      <c r="J72" t="s">
        <v>13</v>
      </c>
      <c r="K72" t="s">
        <v>18</v>
      </c>
      <c r="L72" t="s">
        <v>7</v>
      </c>
      <c r="M72" t="s">
        <v>0</v>
      </c>
    </row>
    <row r="73" spans="1:13" x14ac:dyDescent="0.25">
      <c r="A73" s="9">
        <v>45729</v>
      </c>
      <c r="B73">
        <v>2025</v>
      </c>
      <c r="C73" t="s">
        <v>31</v>
      </c>
      <c r="D73">
        <v>1624</v>
      </c>
      <c r="E73">
        <v>24</v>
      </c>
      <c r="F73">
        <v>29</v>
      </c>
      <c r="G73">
        <v>76</v>
      </c>
      <c r="H73" s="10">
        <v>690.76</v>
      </c>
      <c r="I73">
        <v>0</v>
      </c>
      <c r="J73" t="s">
        <v>3</v>
      </c>
      <c r="K73" t="s">
        <v>18</v>
      </c>
      <c r="L73" t="s">
        <v>10</v>
      </c>
      <c r="M73" t="s">
        <v>0</v>
      </c>
    </row>
    <row r="74" spans="1:13" x14ac:dyDescent="0.25">
      <c r="A74" s="9">
        <v>45730</v>
      </c>
      <c r="B74">
        <v>2025</v>
      </c>
      <c r="C74" t="s">
        <v>31</v>
      </c>
      <c r="D74">
        <v>4810</v>
      </c>
      <c r="E74">
        <v>5</v>
      </c>
      <c r="F74">
        <v>7</v>
      </c>
      <c r="G74">
        <v>365</v>
      </c>
      <c r="H74" s="10">
        <v>1108.1300000000001</v>
      </c>
      <c r="I74">
        <v>0</v>
      </c>
      <c r="J74" t="s">
        <v>13</v>
      </c>
      <c r="K74" t="s">
        <v>18</v>
      </c>
      <c r="L74" t="s">
        <v>10</v>
      </c>
      <c r="M74" t="s">
        <v>0</v>
      </c>
    </row>
    <row r="75" spans="1:13" x14ac:dyDescent="0.25">
      <c r="A75" s="9">
        <v>45731</v>
      </c>
      <c r="B75">
        <v>2025</v>
      </c>
      <c r="C75" t="s">
        <v>31</v>
      </c>
      <c r="D75">
        <v>867</v>
      </c>
      <c r="E75">
        <v>8</v>
      </c>
      <c r="F75">
        <v>45</v>
      </c>
      <c r="G75">
        <v>340</v>
      </c>
      <c r="H75" s="10">
        <v>438.87</v>
      </c>
      <c r="I75">
        <v>0</v>
      </c>
      <c r="J75" t="s">
        <v>3</v>
      </c>
      <c r="K75" t="s">
        <v>18</v>
      </c>
      <c r="L75" t="s">
        <v>1</v>
      </c>
      <c r="M75" t="s">
        <v>0</v>
      </c>
    </row>
    <row r="76" spans="1:13" x14ac:dyDescent="0.25">
      <c r="A76" s="9">
        <v>45732</v>
      </c>
      <c r="B76">
        <v>2025</v>
      </c>
      <c r="C76" t="s">
        <v>31</v>
      </c>
      <c r="D76">
        <v>1106</v>
      </c>
      <c r="E76">
        <v>26</v>
      </c>
      <c r="F76">
        <v>35</v>
      </c>
      <c r="G76">
        <v>205</v>
      </c>
      <c r="H76" s="10">
        <v>1146.1099999999999</v>
      </c>
      <c r="I76">
        <v>0</v>
      </c>
      <c r="J76" t="s">
        <v>13</v>
      </c>
      <c r="K76" t="s">
        <v>18</v>
      </c>
      <c r="L76" t="s">
        <v>10</v>
      </c>
      <c r="M76" t="s">
        <v>0</v>
      </c>
    </row>
    <row r="77" spans="1:13" x14ac:dyDescent="0.25">
      <c r="A77" s="9">
        <v>45733</v>
      </c>
      <c r="B77">
        <v>2025</v>
      </c>
      <c r="C77" t="s">
        <v>31</v>
      </c>
      <c r="D77">
        <v>1361</v>
      </c>
      <c r="E77">
        <v>22</v>
      </c>
      <c r="F77">
        <v>1</v>
      </c>
      <c r="G77">
        <v>377</v>
      </c>
      <c r="H77" s="10">
        <v>642.74</v>
      </c>
      <c r="I77">
        <v>55</v>
      </c>
      <c r="J77" t="s">
        <v>13</v>
      </c>
      <c r="K77" t="s">
        <v>11</v>
      </c>
      <c r="L77" t="s">
        <v>1</v>
      </c>
      <c r="M77" t="s">
        <v>0</v>
      </c>
    </row>
    <row r="78" spans="1:13" x14ac:dyDescent="0.25">
      <c r="A78" s="9">
        <v>45734</v>
      </c>
      <c r="B78">
        <v>2025</v>
      </c>
      <c r="C78" t="s">
        <v>31</v>
      </c>
      <c r="D78">
        <v>2887</v>
      </c>
      <c r="E78">
        <v>33</v>
      </c>
      <c r="F78">
        <v>-3</v>
      </c>
      <c r="G78">
        <v>384</v>
      </c>
      <c r="H78" s="10">
        <v>2386.2199999999998</v>
      </c>
      <c r="I78">
        <v>0</v>
      </c>
      <c r="J78" t="s">
        <v>13</v>
      </c>
      <c r="K78" t="s">
        <v>11</v>
      </c>
      <c r="L78" t="s">
        <v>1</v>
      </c>
      <c r="M78" t="s">
        <v>0</v>
      </c>
    </row>
    <row r="79" spans="1:13" x14ac:dyDescent="0.25">
      <c r="A79" s="9">
        <v>45735</v>
      </c>
      <c r="B79">
        <v>2025</v>
      </c>
      <c r="C79" t="s">
        <v>31</v>
      </c>
      <c r="D79">
        <v>1048</v>
      </c>
      <c r="E79">
        <v>39</v>
      </c>
      <c r="F79">
        <v>41</v>
      </c>
      <c r="G79">
        <v>63</v>
      </c>
      <c r="H79" s="10">
        <v>1233.27</v>
      </c>
      <c r="I79">
        <v>0</v>
      </c>
      <c r="J79" t="s">
        <v>3</v>
      </c>
      <c r="K79" t="s">
        <v>8</v>
      </c>
      <c r="L79" t="s">
        <v>7</v>
      </c>
      <c r="M79" t="s">
        <v>0</v>
      </c>
    </row>
    <row r="80" spans="1:13" x14ac:dyDescent="0.25">
      <c r="A80" s="9">
        <v>45736</v>
      </c>
      <c r="B80">
        <v>2025</v>
      </c>
      <c r="C80" t="s">
        <v>31</v>
      </c>
      <c r="D80">
        <v>1554</v>
      </c>
      <c r="E80">
        <v>27</v>
      </c>
      <c r="F80">
        <v>33</v>
      </c>
      <c r="G80">
        <v>301</v>
      </c>
      <c r="H80" s="10">
        <v>1383.21</v>
      </c>
      <c r="I80">
        <v>0</v>
      </c>
      <c r="J80" t="s">
        <v>13</v>
      </c>
      <c r="K80" t="s">
        <v>18</v>
      </c>
      <c r="L80" t="s">
        <v>15</v>
      </c>
      <c r="M80" t="s">
        <v>0</v>
      </c>
    </row>
    <row r="81" spans="1:13" x14ac:dyDescent="0.25">
      <c r="A81" s="9">
        <v>45737</v>
      </c>
      <c r="B81">
        <v>2025</v>
      </c>
      <c r="C81" t="s">
        <v>31</v>
      </c>
      <c r="D81">
        <v>1501</v>
      </c>
      <c r="E81">
        <v>14</v>
      </c>
      <c r="F81">
        <v>35</v>
      </c>
      <c r="G81">
        <v>179</v>
      </c>
      <c r="H81" s="10">
        <v>72.91</v>
      </c>
      <c r="I81">
        <v>0</v>
      </c>
      <c r="J81" t="s">
        <v>3</v>
      </c>
      <c r="K81" t="s">
        <v>2</v>
      </c>
      <c r="L81" t="s">
        <v>10</v>
      </c>
      <c r="M81" t="s">
        <v>0</v>
      </c>
    </row>
    <row r="82" spans="1:13" x14ac:dyDescent="0.25">
      <c r="A82" s="9">
        <v>45738</v>
      </c>
      <c r="B82">
        <v>2025</v>
      </c>
      <c r="C82" t="s">
        <v>31</v>
      </c>
      <c r="D82">
        <v>2557</v>
      </c>
      <c r="E82">
        <v>13</v>
      </c>
      <c r="F82">
        <v>40</v>
      </c>
      <c r="G82">
        <v>385</v>
      </c>
      <c r="H82" s="10">
        <v>1745.31</v>
      </c>
      <c r="I82">
        <v>0</v>
      </c>
      <c r="J82" t="s">
        <v>3</v>
      </c>
      <c r="K82" t="s">
        <v>18</v>
      </c>
      <c r="L82" t="s">
        <v>7</v>
      </c>
      <c r="M82" t="s">
        <v>0</v>
      </c>
    </row>
    <row r="83" spans="1:13" x14ac:dyDescent="0.25">
      <c r="A83" s="9">
        <v>45739</v>
      </c>
      <c r="B83">
        <v>2025</v>
      </c>
      <c r="C83" t="s">
        <v>31</v>
      </c>
      <c r="D83">
        <v>1945</v>
      </c>
      <c r="E83">
        <v>43</v>
      </c>
      <c r="F83">
        <v>33</v>
      </c>
      <c r="G83">
        <v>444</v>
      </c>
      <c r="H83" s="10">
        <v>2031.97</v>
      </c>
      <c r="I83">
        <v>55</v>
      </c>
      <c r="J83" t="s">
        <v>13</v>
      </c>
      <c r="K83" t="s">
        <v>18</v>
      </c>
      <c r="L83" t="s">
        <v>17</v>
      </c>
      <c r="M83" t="s">
        <v>0</v>
      </c>
    </row>
    <row r="84" spans="1:13" x14ac:dyDescent="0.25">
      <c r="A84" s="9">
        <v>45740</v>
      </c>
      <c r="B84">
        <v>2025</v>
      </c>
      <c r="C84" t="s">
        <v>31</v>
      </c>
      <c r="D84">
        <v>606</v>
      </c>
      <c r="E84">
        <v>24</v>
      </c>
      <c r="F84">
        <v>31</v>
      </c>
      <c r="G84">
        <v>180</v>
      </c>
      <c r="H84" s="10">
        <v>1031.1400000000001</v>
      </c>
      <c r="I84">
        <v>0</v>
      </c>
      <c r="J84" t="s">
        <v>13</v>
      </c>
      <c r="K84" t="s">
        <v>18</v>
      </c>
      <c r="L84" t="s">
        <v>7</v>
      </c>
      <c r="M84" t="s">
        <v>0</v>
      </c>
    </row>
    <row r="85" spans="1:13" x14ac:dyDescent="0.25">
      <c r="A85" s="9">
        <v>45741</v>
      </c>
      <c r="B85">
        <v>2025</v>
      </c>
      <c r="C85" t="s">
        <v>31</v>
      </c>
      <c r="D85">
        <v>1985</v>
      </c>
      <c r="E85">
        <v>40</v>
      </c>
      <c r="F85">
        <v>0</v>
      </c>
      <c r="G85">
        <v>136</v>
      </c>
      <c r="H85" s="10">
        <v>1362.16</v>
      </c>
      <c r="I85">
        <v>0</v>
      </c>
      <c r="J85" t="s">
        <v>13</v>
      </c>
      <c r="K85" t="s">
        <v>18</v>
      </c>
      <c r="L85" t="s">
        <v>10</v>
      </c>
      <c r="M85" t="s">
        <v>0</v>
      </c>
    </row>
    <row r="86" spans="1:13" x14ac:dyDescent="0.25">
      <c r="A86" s="9">
        <v>45742</v>
      </c>
      <c r="B86">
        <v>2025</v>
      </c>
      <c r="C86" t="s">
        <v>31</v>
      </c>
      <c r="D86">
        <v>1785</v>
      </c>
      <c r="E86">
        <v>24</v>
      </c>
      <c r="F86">
        <v>29</v>
      </c>
      <c r="G86">
        <v>427</v>
      </c>
      <c r="H86" s="10">
        <v>797.54</v>
      </c>
      <c r="I86">
        <v>0</v>
      </c>
      <c r="J86" t="s">
        <v>13</v>
      </c>
      <c r="K86" t="s">
        <v>18</v>
      </c>
      <c r="L86" t="s">
        <v>7</v>
      </c>
      <c r="M86" t="s">
        <v>0</v>
      </c>
    </row>
    <row r="87" spans="1:13" x14ac:dyDescent="0.25">
      <c r="A87" s="9">
        <v>45743</v>
      </c>
      <c r="B87">
        <v>2025</v>
      </c>
      <c r="C87" t="s">
        <v>31</v>
      </c>
      <c r="D87">
        <v>622</v>
      </c>
      <c r="E87">
        <v>38</v>
      </c>
      <c r="F87">
        <v>25</v>
      </c>
      <c r="G87">
        <v>101</v>
      </c>
      <c r="H87" s="10">
        <v>285.18</v>
      </c>
      <c r="I87">
        <v>0</v>
      </c>
      <c r="J87" t="s">
        <v>13</v>
      </c>
      <c r="K87" t="s">
        <v>18</v>
      </c>
      <c r="L87" t="s">
        <v>7</v>
      </c>
      <c r="M87" t="s">
        <v>0</v>
      </c>
    </row>
    <row r="88" spans="1:13" x14ac:dyDescent="0.25">
      <c r="A88" s="9">
        <v>45744</v>
      </c>
      <c r="B88">
        <v>2025</v>
      </c>
      <c r="C88" t="s">
        <v>31</v>
      </c>
      <c r="D88">
        <v>1617</v>
      </c>
      <c r="E88">
        <v>45</v>
      </c>
      <c r="F88">
        <v>23</v>
      </c>
      <c r="G88">
        <v>296</v>
      </c>
      <c r="H88" s="10">
        <v>1985.54</v>
      </c>
      <c r="I88">
        <v>0</v>
      </c>
      <c r="J88" t="s">
        <v>13</v>
      </c>
      <c r="K88" t="s">
        <v>18</v>
      </c>
      <c r="L88" t="s">
        <v>7</v>
      </c>
      <c r="M88" t="s">
        <v>0</v>
      </c>
    </row>
    <row r="89" spans="1:13" x14ac:dyDescent="0.25">
      <c r="A89" s="9">
        <v>45745</v>
      </c>
      <c r="B89">
        <v>2025</v>
      </c>
      <c r="C89" t="s">
        <v>31</v>
      </c>
      <c r="D89">
        <v>1109</v>
      </c>
      <c r="E89">
        <v>42</v>
      </c>
      <c r="F89">
        <v>38</v>
      </c>
      <c r="G89">
        <v>225</v>
      </c>
      <c r="H89" s="10">
        <v>98.42</v>
      </c>
      <c r="I89">
        <v>0</v>
      </c>
      <c r="J89" t="s">
        <v>13</v>
      </c>
      <c r="K89" t="s">
        <v>18</v>
      </c>
      <c r="L89" t="s">
        <v>10</v>
      </c>
      <c r="M89" t="s">
        <v>0</v>
      </c>
    </row>
    <row r="90" spans="1:13" x14ac:dyDescent="0.25">
      <c r="A90" s="9">
        <v>45746</v>
      </c>
      <c r="B90">
        <v>2025</v>
      </c>
      <c r="C90" t="s">
        <v>31</v>
      </c>
      <c r="D90">
        <v>3466</v>
      </c>
      <c r="E90">
        <v>27</v>
      </c>
      <c r="F90">
        <v>33</v>
      </c>
      <c r="G90">
        <v>362</v>
      </c>
      <c r="H90" s="10">
        <v>1694.7</v>
      </c>
      <c r="I90">
        <v>0</v>
      </c>
      <c r="J90" t="s">
        <v>3</v>
      </c>
      <c r="K90" t="s">
        <v>11</v>
      </c>
      <c r="L90" t="s">
        <v>10</v>
      </c>
      <c r="M90" t="s">
        <v>0</v>
      </c>
    </row>
    <row r="91" spans="1:13" x14ac:dyDescent="0.25">
      <c r="A91" s="9">
        <v>45747</v>
      </c>
      <c r="B91">
        <v>2025</v>
      </c>
      <c r="C91" t="s">
        <v>31</v>
      </c>
      <c r="D91">
        <v>1677</v>
      </c>
      <c r="E91">
        <v>35</v>
      </c>
      <c r="F91">
        <v>-1</v>
      </c>
      <c r="G91">
        <v>85</v>
      </c>
      <c r="H91" s="10">
        <v>2381.09</v>
      </c>
      <c r="I91">
        <v>0</v>
      </c>
      <c r="J91" t="s">
        <v>13</v>
      </c>
      <c r="K91" t="s">
        <v>18</v>
      </c>
      <c r="L91" t="s">
        <v>7</v>
      </c>
      <c r="M91" t="s">
        <v>0</v>
      </c>
    </row>
    <row r="92" spans="1:13" x14ac:dyDescent="0.25">
      <c r="A92" s="9">
        <v>45748</v>
      </c>
      <c r="B92">
        <v>2025</v>
      </c>
      <c r="C92" t="s">
        <v>27</v>
      </c>
      <c r="D92">
        <v>1727</v>
      </c>
      <c r="E92">
        <v>31</v>
      </c>
      <c r="F92">
        <v>9</v>
      </c>
      <c r="G92">
        <v>321</v>
      </c>
      <c r="H92" s="10">
        <v>2277.98</v>
      </c>
      <c r="I92">
        <v>0</v>
      </c>
      <c r="J92" t="s">
        <v>13</v>
      </c>
      <c r="K92" t="s">
        <v>18</v>
      </c>
      <c r="L92" t="s">
        <v>17</v>
      </c>
      <c r="M92" t="s">
        <v>0</v>
      </c>
    </row>
    <row r="93" spans="1:13" x14ac:dyDescent="0.25">
      <c r="A93" s="9">
        <v>45749</v>
      </c>
      <c r="B93">
        <v>2025</v>
      </c>
      <c r="C93" t="s">
        <v>27</v>
      </c>
      <c r="D93">
        <v>3265</v>
      </c>
      <c r="E93">
        <v>20</v>
      </c>
      <c r="F93">
        <v>-4</v>
      </c>
      <c r="G93">
        <v>319</v>
      </c>
      <c r="H93" s="10">
        <v>91.18</v>
      </c>
      <c r="I93">
        <v>0</v>
      </c>
      <c r="J93" t="s">
        <v>13</v>
      </c>
      <c r="K93" t="s">
        <v>11</v>
      </c>
      <c r="L93" t="s">
        <v>17</v>
      </c>
      <c r="M93" t="s">
        <v>0</v>
      </c>
    </row>
    <row r="94" spans="1:13" x14ac:dyDescent="0.25">
      <c r="A94" s="9">
        <v>45750</v>
      </c>
      <c r="B94">
        <v>2025</v>
      </c>
      <c r="C94" t="s">
        <v>27</v>
      </c>
      <c r="D94">
        <v>4191</v>
      </c>
      <c r="E94">
        <v>19</v>
      </c>
      <c r="F94">
        <v>-1</v>
      </c>
      <c r="G94">
        <v>235</v>
      </c>
      <c r="H94" s="10">
        <v>2159.61</v>
      </c>
      <c r="I94">
        <v>0</v>
      </c>
      <c r="J94" t="s">
        <v>3</v>
      </c>
      <c r="K94" t="s">
        <v>18</v>
      </c>
      <c r="L94" t="s">
        <v>7</v>
      </c>
      <c r="M94" t="s">
        <v>0</v>
      </c>
    </row>
    <row r="95" spans="1:13" x14ac:dyDescent="0.25">
      <c r="A95" s="9">
        <v>45751</v>
      </c>
      <c r="B95">
        <v>2025</v>
      </c>
      <c r="C95" t="s">
        <v>27</v>
      </c>
      <c r="D95">
        <v>2726</v>
      </c>
      <c r="E95">
        <v>35</v>
      </c>
      <c r="F95">
        <v>48</v>
      </c>
      <c r="G95">
        <v>399</v>
      </c>
      <c r="H95" s="10">
        <v>314.06</v>
      </c>
      <c r="I95">
        <v>0</v>
      </c>
      <c r="J95" t="s">
        <v>13</v>
      </c>
      <c r="K95" t="s">
        <v>18</v>
      </c>
      <c r="L95" t="s">
        <v>21</v>
      </c>
      <c r="M95" t="s">
        <v>0</v>
      </c>
    </row>
    <row r="96" spans="1:13" x14ac:dyDescent="0.25">
      <c r="A96" s="9">
        <v>45752</v>
      </c>
      <c r="B96">
        <v>2025</v>
      </c>
      <c r="C96" t="s">
        <v>27</v>
      </c>
      <c r="D96">
        <v>2077</v>
      </c>
      <c r="E96">
        <v>24</v>
      </c>
      <c r="F96">
        <v>50</v>
      </c>
      <c r="G96">
        <v>20</v>
      </c>
      <c r="H96" s="10">
        <v>1560.44</v>
      </c>
      <c r="I96">
        <v>0</v>
      </c>
      <c r="J96" t="s">
        <v>13</v>
      </c>
      <c r="K96" t="s">
        <v>18</v>
      </c>
      <c r="L96" t="s">
        <v>10</v>
      </c>
      <c r="M96" t="s">
        <v>0</v>
      </c>
    </row>
    <row r="97" spans="1:13" x14ac:dyDescent="0.25">
      <c r="A97" s="9">
        <v>45753</v>
      </c>
      <c r="B97">
        <v>2025</v>
      </c>
      <c r="C97" t="s">
        <v>27</v>
      </c>
      <c r="D97">
        <v>4447</v>
      </c>
      <c r="E97">
        <v>10</v>
      </c>
      <c r="F97">
        <v>-2</v>
      </c>
      <c r="G97">
        <v>225</v>
      </c>
      <c r="H97" s="10">
        <v>1457.28</v>
      </c>
      <c r="I97">
        <v>0</v>
      </c>
      <c r="J97" t="s">
        <v>13</v>
      </c>
      <c r="K97" t="s">
        <v>18</v>
      </c>
      <c r="L97" t="s">
        <v>7</v>
      </c>
      <c r="M97" t="s">
        <v>0</v>
      </c>
    </row>
    <row r="98" spans="1:13" x14ac:dyDescent="0.25">
      <c r="A98" s="9">
        <v>45754</v>
      </c>
      <c r="B98">
        <v>2025</v>
      </c>
      <c r="C98" t="s">
        <v>27</v>
      </c>
      <c r="D98">
        <v>2541</v>
      </c>
      <c r="E98">
        <v>6</v>
      </c>
      <c r="F98">
        <v>30</v>
      </c>
      <c r="G98">
        <v>230</v>
      </c>
      <c r="H98" s="10">
        <v>1252.08</v>
      </c>
      <c r="I98">
        <v>0</v>
      </c>
      <c r="J98" t="s">
        <v>13</v>
      </c>
      <c r="K98" t="s">
        <v>2</v>
      </c>
      <c r="L98" t="s">
        <v>10</v>
      </c>
      <c r="M98" t="s">
        <v>0</v>
      </c>
    </row>
    <row r="99" spans="1:13" x14ac:dyDescent="0.25">
      <c r="A99" s="9">
        <v>45755</v>
      </c>
      <c r="B99">
        <v>2025</v>
      </c>
      <c r="C99" t="s">
        <v>27</v>
      </c>
      <c r="D99">
        <v>2249</v>
      </c>
      <c r="E99">
        <v>42</v>
      </c>
      <c r="F99">
        <v>4</v>
      </c>
      <c r="G99">
        <v>174</v>
      </c>
      <c r="H99" s="10">
        <v>1423.34</v>
      </c>
      <c r="I99">
        <v>0</v>
      </c>
      <c r="J99" t="s">
        <v>3</v>
      </c>
      <c r="K99" t="s">
        <v>11</v>
      </c>
      <c r="L99" t="s">
        <v>17</v>
      </c>
      <c r="M99" t="s">
        <v>0</v>
      </c>
    </row>
    <row r="100" spans="1:13" x14ac:dyDescent="0.25">
      <c r="A100" s="9">
        <v>45756</v>
      </c>
      <c r="B100">
        <v>2025</v>
      </c>
      <c r="C100" t="s">
        <v>27</v>
      </c>
      <c r="D100">
        <v>2505</v>
      </c>
      <c r="E100">
        <v>13</v>
      </c>
      <c r="F100">
        <v>22</v>
      </c>
      <c r="G100">
        <v>278</v>
      </c>
      <c r="H100" s="10">
        <v>734.9</v>
      </c>
      <c r="I100">
        <v>0</v>
      </c>
      <c r="J100" t="s">
        <v>13</v>
      </c>
      <c r="K100" t="s">
        <v>2</v>
      </c>
      <c r="L100" t="s">
        <v>7</v>
      </c>
      <c r="M100" t="s">
        <v>0</v>
      </c>
    </row>
    <row r="101" spans="1:13" x14ac:dyDescent="0.25">
      <c r="A101" s="9">
        <v>45757</v>
      </c>
      <c r="B101">
        <v>2025</v>
      </c>
      <c r="C101" t="s">
        <v>27</v>
      </c>
      <c r="D101">
        <v>4596</v>
      </c>
      <c r="E101">
        <v>31</v>
      </c>
      <c r="F101">
        <v>11</v>
      </c>
      <c r="G101">
        <v>431</v>
      </c>
      <c r="H101" s="10">
        <v>145.55000000000001</v>
      </c>
      <c r="I101">
        <v>0</v>
      </c>
      <c r="J101" t="s">
        <v>13</v>
      </c>
      <c r="K101" t="s">
        <v>11</v>
      </c>
      <c r="L101" t="s">
        <v>1</v>
      </c>
      <c r="M101" t="s">
        <v>0</v>
      </c>
    </row>
    <row r="102" spans="1:13" x14ac:dyDescent="0.25">
      <c r="A102" s="9">
        <v>45758</v>
      </c>
      <c r="B102">
        <v>2025</v>
      </c>
      <c r="C102" t="s">
        <v>27</v>
      </c>
      <c r="D102">
        <v>2556</v>
      </c>
      <c r="E102">
        <v>9</v>
      </c>
      <c r="F102">
        <v>19</v>
      </c>
      <c r="G102">
        <v>358</v>
      </c>
      <c r="H102" s="10">
        <v>133.6</v>
      </c>
      <c r="I102">
        <v>55</v>
      </c>
      <c r="J102" t="s">
        <v>13</v>
      </c>
      <c r="K102" t="s">
        <v>18</v>
      </c>
      <c r="L102" t="s">
        <v>7</v>
      </c>
      <c r="M102" t="s">
        <v>0</v>
      </c>
    </row>
    <row r="103" spans="1:13" x14ac:dyDescent="0.25">
      <c r="A103" s="9">
        <v>45759</v>
      </c>
      <c r="B103">
        <v>2025</v>
      </c>
      <c r="C103" t="s">
        <v>27</v>
      </c>
      <c r="D103">
        <v>4167</v>
      </c>
      <c r="E103">
        <v>31</v>
      </c>
      <c r="F103">
        <v>28</v>
      </c>
      <c r="G103">
        <v>23</v>
      </c>
      <c r="H103" s="10">
        <v>666.25</v>
      </c>
      <c r="I103">
        <v>0</v>
      </c>
      <c r="J103" t="s">
        <v>13</v>
      </c>
      <c r="K103" t="s">
        <v>11</v>
      </c>
      <c r="L103" t="s">
        <v>1</v>
      </c>
      <c r="M103" t="s">
        <v>0</v>
      </c>
    </row>
    <row r="104" spans="1:13" x14ac:dyDescent="0.25">
      <c r="A104" s="9">
        <v>45760</v>
      </c>
      <c r="B104">
        <v>2025</v>
      </c>
      <c r="C104" t="s">
        <v>27</v>
      </c>
      <c r="D104">
        <v>3492</v>
      </c>
      <c r="E104">
        <v>31</v>
      </c>
      <c r="F104">
        <v>3</v>
      </c>
      <c r="G104">
        <v>393</v>
      </c>
      <c r="H104" s="10">
        <v>688</v>
      </c>
      <c r="I104">
        <v>0</v>
      </c>
      <c r="J104" t="s">
        <v>13</v>
      </c>
      <c r="K104" t="s">
        <v>18</v>
      </c>
      <c r="L104" t="s">
        <v>17</v>
      </c>
      <c r="M104" t="s">
        <v>0</v>
      </c>
    </row>
    <row r="105" spans="1:13" x14ac:dyDescent="0.25">
      <c r="A105" s="9">
        <v>45761</v>
      </c>
      <c r="B105">
        <v>2025</v>
      </c>
      <c r="C105" t="s">
        <v>27</v>
      </c>
      <c r="D105">
        <v>3375</v>
      </c>
      <c r="E105">
        <v>35</v>
      </c>
      <c r="F105">
        <v>45</v>
      </c>
      <c r="G105">
        <v>164</v>
      </c>
      <c r="H105" s="10">
        <v>644.39</v>
      </c>
      <c r="I105">
        <v>0</v>
      </c>
      <c r="J105" t="s">
        <v>13</v>
      </c>
      <c r="K105" t="s">
        <v>11</v>
      </c>
      <c r="L105" t="s">
        <v>1</v>
      </c>
      <c r="M105" t="s">
        <v>0</v>
      </c>
    </row>
    <row r="106" spans="1:13" x14ac:dyDescent="0.25">
      <c r="A106" s="9">
        <v>45762</v>
      </c>
      <c r="B106">
        <v>2025</v>
      </c>
      <c r="C106" t="s">
        <v>27</v>
      </c>
      <c r="D106">
        <v>1514</v>
      </c>
      <c r="E106">
        <v>30</v>
      </c>
      <c r="F106">
        <v>45</v>
      </c>
      <c r="G106">
        <v>414</v>
      </c>
      <c r="H106" s="10">
        <v>1357.74</v>
      </c>
      <c r="I106">
        <v>0</v>
      </c>
      <c r="J106" t="s">
        <v>13</v>
      </c>
      <c r="K106" t="s">
        <v>18</v>
      </c>
      <c r="L106" t="s">
        <v>7</v>
      </c>
      <c r="M106" t="s">
        <v>0</v>
      </c>
    </row>
    <row r="107" spans="1:13" x14ac:dyDescent="0.25">
      <c r="A107" s="9">
        <v>45763</v>
      </c>
      <c r="B107">
        <v>2025</v>
      </c>
      <c r="C107" t="s">
        <v>27</v>
      </c>
      <c r="D107">
        <v>3184</v>
      </c>
      <c r="E107">
        <v>37</v>
      </c>
      <c r="F107">
        <v>21</v>
      </c>
      <c r="G107">
        <v>22</v>
      </c>
      <c r="H107" s="10">
        <v>771.84</v>
      </c>
      <c r="I107">
        <v>0</v>
      </c>
      <c r="J107" t="s">
        <v>13</v>
      </c>
      <c r="K107" t="s">
        <v>2</v>
      </c>
      <c r="L107" t="s">
        <v>1</v>
      </c>
      <c r="M107" t="s">
        <v>0</v>
      </c>
    </row>
    <row r="108" spans="1:13" x14ac:dyDescent="0.25">
      <c r="A108" s="9">
        <v>45764</v>
      </c>
      <c r="B108">
        <v>2025</v>
      </c>
      <c r="C108" t="s">
        <v>27</v>
      </c>
      <c r="D108">
        <v>2543</v>
      </c>
      <c r="E108">
        <v>35</v>
      </c>
      <c r="F108">
        <v>41</v>
      </c>
      <c r="G108">
        <v>390</v>
      </c>
      <c r="H108" s="10">
        <v>1829.59</v>
      </c>
      <c r="I108">
        <v>0</v>
      </c>
      <c r="J108" t="s">
        <v>3</v>
      </c>
      <c r="K108" t="s">
        <v>18</v>
      </c>
      <c r="L108" t="s">
        <v>7</v>
      </c>
      <c r="M108" t="s">
        <v>0</v>
      </c>
    </row>
    <row r="109" spans="1:13" x14ac:dyDescent="0.25">
      <c r="A109" s="9">
        <v>45765</v>
      </c>
      <c r="B109">
        <v>2025</v>
      </c>
      <c r="C109" t="s">
        <v>27</v>
      </c>
      <c r="D109">
        <v>4920</v>
      </c>
      <c r="E109">
        <v>5</v>
      </c>
      <c r="F109">
        <v>10</v>
      </c>
      <c r="G109">
        <v>170</v>
      </c>
      <c r="H109" s="10">
        <v>1986.18</v>
      </c>
      <c r="I109">
        <v>0</v>
      </c>
      <c r="J109" t="s">
        <v>3</v>
      </c>
      <c r="K109" t="s">
        <v>18</v>
      </c>
      <c r="L109" t="s">
        <v>10</v>
      </c>
      <c r="M109" t="s">
        <v>0</v>
      </c>
    </row>
    <row r="110" spans="1:13" x14ac:dyDescent="0.25">
      <c r="A110" s="9">
        <v>45766</v>
      </c>
      <c r="B110">
        <v>2025</v>
      </c>
      <c r="C110" t="s">
        <v>27</v>
      </c>
      <c r="D110">
        <v>4632</v>
      </c>
      <c r="E110">
        <v>44</v>
      </c>
      <c r="F110">
        <v>5</v>
      </c>
      <c r="G110">
        <v>388</v>
      </c>
      <c r="H110" s="10">
        <v>1049.83</v>
      </c>
      <c r="I110">
        <v>0</v>
      </c>
      <c r="J110" t="s">
        <v>3</v>
      </c>
      <c r="K110" t="s">
        <v>18</v>
      </c>
      <c r="L110" t="s">
        <v>1</v>
      </c>
      <c r="M110" t="s">
        <v>0</v>
      </c>
    </row>
    <row r="111" spans="1:13" x14ac:dyDescent="0.25">
      <c r="A111" s="9">
        <v>45767</v>
      </c>
      <c r="B111">
        <v>2025</v>
      </c>
      <c r="C111" t="s">
        <v>27</v>
      </c>
      <c r="D111">
        <v>4682</v>
      </c>
      <c r="E111">
        <v>45</v>
      </c>
      <c r="F111">
        <v>12</v>
      </c>
      <c r="G111">
        <v>192</v>
      </c>
      <c r="H111" s="10">
        <v>1868.35</v>
      </c>
      <c r="I111">
        <v>0</v>
      </c>
      <c r="J111" t="s">
        <v>3</v>
      </c>
      <c r="K111" t="s">
        <v>18</v>
      </c>
      <c r="L111" t="s">
        <v>17</v>
      </c>
      <c r="M111" t="s">
        <v>0</v>
      </c>
    </row>
    <row r="112" spans="1:13" x14ac:dyDescent="0.25">
      <c r="A112" s="9">
        <v>45768</v>
      </c>
      <c r="B112">
        <v>2025</v>
      </c>
      <c r="C112" t="s">
        <v>27</v>
      </c>
      <c r="D112">
        <v>779</v>
      </c>
      <c r="E112">
        <v>20</v>
      </c>
      <c r="F112">
        <v>4</v>
      </c>
      <c r="G112">
        <v>191</v>
      </c>
      <c r="H112" s="10">
        <v>683.14</v>
      </c>
      <c r="I112">
        <v>0</v>
      </c>
      <c r="J112" t="s">
        <v>13</v>
      </c>
      <c r="K112" t="s">
        <v>2</v>
      </c>
      <c r="L112" t="s">
        <v>17</v>
      </c>
      <c r="M112" t="s">
        <v>0</v>
      </c>
    </row>
    <row r="113" spans="1:13" x14ac:dyDescent="0.25">
      <c r="A113" s="9">
        <v>45769</v>
      </c>
      <c r="B113">
        <v>2025</v>
      </c>
      <c r="C113" t="s">
        <v>27</v>
      </c>
      <c r="D113">
        <v>1171</v>
      </c>
      <c r="E113">
        <v>31</v>
      </c>
      <c r="F113">
        <v>42</v>
      </c>
      <c r="G113">
        <v>324</v>
      </c>
      <c r="H113" s="10">
        <v>375.07</v>
      </c>
      <c r="I113">
        <v>0</v>
      </c>
      <c r="J113" t="s">
        <v>13</v>
      </c>
      <c r="K113" t="s">
        <v>18</v>
      </c>
      <c r="L113" t="s">
        <v>7</v>
      </c>
      <c r="M113" t="s">
        <v>0</v>
      </c>
    </row>
    <row r="114" spans="1:13" x14ac:dyDescent="0.25">
      <c r="A114" s="9">
        <v>45770</v>
      </c>
      <c r="B114">
        <v>2025</v>
      </c>
      <c r="C114" t="s">
        <v>27</v>
      </c>
      <c r="D114">
        <v>2645</v>
      </c>
      <c r="E114">
        <v>39</v>
      </c>
      <c r="F114">
        <v>-2</v>
      </c>
      <c r="G114">
        <v>300</v>
      </c>
      <c r="H114" s="10">
        <v>1459.49</v>
      </c>
      <c r="I114">
        <v>0</v>
      </c>
      <c r="J114" t="s">
        <v>13</v>
      </c>
      <c r="K114" t="s">
        <v>18</v>
      </c>
      <c r="L114" t="s">
        <v>10</v>
      </c>
      <c r="M114" t="s">
        <v>0</v>
      </c>
    </row>
    <row r="115" spans="1:13" x14ac:dyDescent="0.25">
      <c r="A115" s="9">
        <v>45771</v>
      </c>
      <c r="B115">
        <v>2025</v>
      </c>
      <c r="C115" t="s">
        <v>27</v>
      </c>
      <c r="D115">
        <v>4075</v>
      </c>
      <c r="E115">
        <v>13</v>
      </c>
      <c r="F115">
        <v>42</v>
      </c>
      <c r="G115">
        <v>410</v>
      </c>
      <c r="H115" s="10">
        <v>1369.59</v>
      </c>
      <c r="I115">
        <v>0</v>
      </c>
      <c r="J115" t="s">
        <v>3</v>
      </c>
      <c r="K115" t="s">
        <v>18</v>
      </c>
      <c r="L115" t="s">
        <v>21</v>
      </c>
      <c r="M115" t="s">
        <v>0</v>
      </c>
    </row>
    <row r="116" spans="1:13" x14ac:dyDescent="0.25">
      <c r="A116" s="9">
        <v>45772</v>
      </c>
      <c r="B116">
        <v>2025</v>
      </c>
      <c r="C116" t="s">
        <v>27</v>
      </c>
      <c r="D116">
        <v>1572</v>
      </c>
      <c r="E116">
        <v>39</v>
      </c>
      <c r="F116">
        <v>15</v>
      </c>
      <c r="G116">
        <v>29</v>
      </c>
      <c r="H116" s="10">
        <v>1267.27</v>
      </c>
      <c r="I116">
        <v>0</v>
      </c>
      <c r="J116" t="s">
        <v>13</v>
      </c>
      <c r="K116" t="s">
        <v>18</v>
      </c>
      <c r="L116" t="s">
        <v>7</v>
      </c>
      <c r="M116" t="s">
        <v>0</v>
      </c>
    </row>
    <row r="117" spans="1:13" x14ac:dyDescent="0.25">
      <c r="A117" s="9">
        <v>45773</v>
      </c>
      <c r="B117">
        <v>2025</v>
      </c>
      <c r="C117" t="s">
        <v>27</v>
      </c>
      <c r="D117">
        <v>4284</v>
      </c>
      <c r="E117">
        <v>20</v>
      </c>
      <c r="F117">
        <v>18</v>
      </c>
      <c r="G117">
        <v>412</v>
      </c>
      <c r="H117" s="10">
        <v>105.4</v>
      </c>
      <c r="I117">
        <v>0</v>
      </c>
      <c r="J117" t="s">
        <v>3</v>
      </c>
      <c r="K117" t="s">
        <v>11</v>
      </c>
      <c r="L117" t="s">
        <v>7</v>
      </c>
      <c r="M117" t="s">
        <v>0</v>
      </c>
    </row>
    <row r="118" spans="1:13" x14ac:dyDescent="0.25">
      <c r="A118" s="9">
        <v>45774</v>
      </c>
      <c r="B118">
        <v>2025</v>
      </c>
      <c r="C118" t="s">
        <v>27</v>
      </c>
      <c r="D118">
        <v>524</v>
      </c>
      <c r="E118">
        <v>5</v>
      </c>
      <c r="F118">
        <v>22</v>
      </c>
      <c r="G118">
        <v>324</v>
      </c>
      <c r="H118" s="10">
        <v>1127.05</v>
      </c>
      <c r="I118">
        <v>0</v>
      </c>
      <c r="J118" t="s">
        <v>13</v>
      </c>
      <c r="K118" t="s">
        <v>11</v>
      </c>
      <c r="L118" t="s">
        <v>7</v>
      </c>
      <c r="M118" t="s">
        <v>0</v>
      </c>
    </row>
    <row r="119" spans="1:13" x14ac:dyDescent="0.25">
      <c r="A119" s="9">
        <v>45775</v>
      </c>
      <c r="B119">
        <v>2025</v>
      </c>
      <c r="C119" t="s">
        <v>27</v>
      </c>
      <c r="D119">
        <v>2590</v>
      </c>
      <c r="E119">
        <v>36</v>
      </c>
      <c r="F119">
        <v>-2</v>
      </c>
      <c r="G119">
        <v>192</v>
      </c>
      <c r="H119" s="10">
        <v>1327.14</v>
      </c>
      <c r="I119">
        <v>0</v>
      </c>
      <c r="J119" t="s">
        <v>13</v>
      </c>
      <c r="K119" t="s">
        <v>11</v>
      </c>
      <c r="L119" t="s">
        <v>10</v>
      </c>
      <c r="M119" t="s">
        <v>0</v>
      </c>
    </row>
    <row r="120" spans="1:13" x14ac:dyDescent="0.25">
      <c r="A120" s="9">
        <v>45776</v>
      </c>
      <c r="B120">
        <v>2025</v>
      </c>
      <c r="C120" t="s">
        <v>27</v>
      </c>
      <c r="D120">
        <v>4253</v>
      </c>
      <c r="E120">
        <v>41</v>
      </c>
      <c r="F120">
        <v>28</v>
      </c>
      <c r="G120">
        <v>72</v>
      </c>
      <c r="H120" s="10">
        <v>729.82</v>
      </c>
      <c r="I120">
        <v>0</v>
      </c>
      <c r="J120" t="s">
        <v>13</v>
      </c>
      <c r="K120" t="s">
        <v>18</v>
      </c>
      <c r="L120" t="s">
        <v>7</v>
      </c>
      <c r="M120" t="s">
        <v>0</v>
      </c>
    </row>
    <row r="121" spans="1:13" x14ac:dyDescent="0.25">
      <c r="A121" s="9">
        <v>45777</v>
      </c>
      <c r="B121">
        <v>2025</v>
      </c>
      <c r="C121" t="s">
        <v>27</v>
      </c>
      <c r="D121">
        <v>4117</v>
      </c>
      <c r="E121">
        <v>24</v>
      </c>
      <c r="F121">
        <v>28</v>
      </c>
      <c r="G121">
        <v>145</v>
      </c>
      <c r="H121" s="10">
        <v>1438.94</v>
      </c>
      <c r="I121">
        <v>0</v>
      </c>
      <c r="J121" t="s">
        <v>3</v>
      </c>
      <c r="K121" t="s">
        <v>18</v>
      </c>
      <c r="L121" t="s">
        <v>1</v>
      </c>
      <c r="M121" t="s">
        <v>0</v>
      </c>
    </row>
    <row r="122" spans="1:13" x14ac:dyDescent="0.25">
      <c r="A122" s="9">
        <v>45778</v>
      </c>
      <c r="B122">
        <v>2025</v>
      </c>
      <c r="C122" t="s">
        <v>23</v>
      </c>
      <c r="D122">
        <v>4920</v>
      </c>
      <c r="E122">
        <v>43</v>
      </c>
      <c r="F122">
        <v>44</v>
      </c>
      <c r="G122">
        <v>369</v>
      </c>
      <c r="H122" s="10">
        <v>8.65</v>
      </c>
      <c r="I122">
        <v>0</v>
      </c>
      <c r="J122" t="s">
        <v>3</v>
      </c>
      <c r="K122" t="s">
        <v>18</v>
      </c>
      <c r="L122" t="s">
        <v>10</v>
      </c>
      <c r="M122" t="s">
        <v>209</v>
      </c>
    </row>
    <row r="123" spans="1:13" x14ac:dyDescent="0.25">
      <c r="A123" s="9">
        <v>45779</v>
      </c>
      <c r="B123">
        <v>2025</v>
      </c>
      <c r="C123" t="s">
        <v>23</v>
      </c>
      <c r="D123">
        <v>1994</v>
      </c>
      <c r="E123">
        <v>43</v>
      </c>
      <c r="F123">
        <v>10</v>
      </c>
      <c r="G123">
        <v>413</v>
      </c>
      <c r="H123" s="10">
        <v>723.57</v>
      </c>
      <c r="I123">
        <v>0</v>
      </c>
      <c r="J123" t="s">
        <v>3</v>
      </c>
      <c r="K123" t="s">
        <v>18</v>
      </c>
      <c r="L123" t="s">
        <v>7</v>
      </c>
      <c r="M123" t="s">
        <v>209</v>
      </c>
    </row>
    <row r="124" spans="1:13" x14ac:dyDescent="0.25">
      <c r="A124" s="9">
        <v>45780</v>
      </c>
      <c r="B124">
        <v>2025</v>
      </c>
      <c r="C124" t="s">
        <v>23</v>
      </c>
      <c r="D124">
        <v>794</v>
      </c>
      <c r="E124">
        <v>41</v>
      </c>
      <c r="F124">
        <v>41</v>
      </c>
      <c r="G124">
        <v>231</v>
      </c>
      <c r="H124" s="10">
        <v>1208.01</v>
      </c>
      <c r="I124">
        <v>0</v>
      </c>
      <c r="J124" t="s">
        <v>3</v>
      </c>
      <c r="K124" t="s">
        <v>18</v>
      </c>
      <c r="L124" t="s">
        <v>17</v>
      </c>
      <c r="M124" t="s">
        <v>209</v>
      </c>
    </row>
    <row r="125" spans="1:13" x14ac:dyDescent="0.25">
      <c r="A125" s="9">
        <v>45781</v>
      </c>
      <c r="B125">
        <v>2025</v>
      </c>
      <c r="C125" t="s">
        <v>23</v>
      </c>
      <c r="D125">
        <v>3915</v>
      </c>
      <c r="E125">
        <v>17</v>
      </c>
      <c r="F125">
        <v>43</v>
      </c>
      <c r="G125">
        <v>304</v>
      </c>
      <c r="H125" s="10">
        <v>1819.6</v>
      </c>
      <c r="I125">
        <v>0</v>
      </c>
      <c r="J125" t="s">
        <v>13</v>
      </c>
      <c r="K125" t="s">
        <v>18</v>
      </c>
      <c r="L125" t="s">
        <v>10</v>
      </c>
      <c r="M125" t="s">
        <v>209</v>
      </c>
    </row>
    <row r="126" spans="1:13" x14ac:dyDescent="0.25">
      <c r="A126" s="9">
        <v>45782</v>
      </c>
      <c r="B126">
        <v>2025</v>
      </c>
      <c r="C126" t="s">
        <v>23</v>
      </c>
      <c r="D126">
        <v>1424</v>
      </c>
      <c r="E126">
        <v>3</v>
      </c>
      <c r="F126">
        <v>6</v>
      </c>
      <c r="G126">
        <v>288</v>
      </c>
      <c r="H126" s="10">
        <v>2115.58</v>
      </c>
      <c r="I126">
        <v>0</v>
      </c>
      <c r="J126" t="s">
        <v>13</v>
      </c>
      <c r="K126" t="s">
        <v>11</v>
      </c>
      <c r="L126" t="s">
        <v>7</v>
      </c>
      <c r="M126" t="s">
        <v>209</v>
      </c>
    </row>
    <row r="127" spans="1:13" x14ac:dyDescent="0.25">
      <c r="A127" s="9">
        <v>45783</v>
      </c>
      <c r="B127">
        <v>2025</v>
      </c>
      <c r="C127" t="s">
        <v>23</v>
      </c>
      <c r="D127">
        <v>1545</v>
      </c>
      <c r="E127">
        <v>33</v>
      </c>
      <c r="F127">
        <v>1</v>
      </c>
      <c r="G127">
        <v>215</v>
      </c>
      <c r="H127" s="10">
        <v>1915.41</v>
      </c>
      <c r="I127">
        <v>0</v>
      </c>
      <c r="J127" t="s">
        <v>13</v>
      </c>
      <c r="K127" t="s">
        <v>18</v>
      </c>
      <c r="L127" t="s">
        <v>7</v>
      </c>
      <c r="M127" t="s">
        <v>209</v>
      </c>
    </row>
    <row r="128" spans="1:13" x14ac:dyDescent="0.25">
      <c r="A128" s="9">
        <v>45784</v>
      </c>
      <c r="B128">
        <v>2025</v>
      </c>
      <c r="C128" t="s">
        <v>23</v>
      </c>
      <c r="D128">
        <v>3372</v>
      </c>
      <c r="E128">
        <v>22</v>
      </c>
      <c r="F128">
        <v>37</v>
      </c>
      <c r="G128">
        <v>370</v>
      </c>
      <c r="H128" s="10">
        <v>193.12</v>
      </c>
      <c r="I128">
        <v>55</v>
      </c>
      <c r="J128" t="s">
        <v>13</v>
      </c>
      <c r="K128" t="s">
        <v>18</v>
      </c>
      <c r="L128" t="s">
        <v>21</v>
      </c>
      <c r="M128" t="s">
        <v>209</v>
      </c>
    </row>
    <row r="129" spans="1:13" x14ac:dyDescent="0.25">
      <c r="A129" s="9">
        <v>45785</v>
      </c>
      <c r="B129">
        <v>2025</v>
      </c>
      <c r="C129" t="s">
        <v>23</v>
      </c>
      <c r="D129">
        <v>4570</v>
      </c>
      <c r="E129">
        <v>11</v>
      </c>
      <c r="F129">
        <v>24</v>
      </c>
      <c r="G129">
        <v>71</v>
      </c>
      <c r="H129" s="10">
        <v>1449.9</v>
      </c>
      <c r="I129">
        <v>0</v>
      </c>
      <c r="J129" t="s">
        <v>13</v>
      </c>
      <c r="K129" t="s">
        <v>18</v>
      </c>
      <c r="L129" t="s">
        <v>21</v>
      </c>
      <c r="M129" t="s">
        <v>209</v>
      </c>
    </row>
    <row r="130" spans="1:13" x14ac:dyDescent="0.25">
      <c r="A130" s="9">
        <v>45786</v>
      </c>
      <c r="B130">
        <v>2025</v>
      </c>
      <c r="C130" t="s">
        <v>23</v>
      </c>
      <c r="D130">
        <v>2381</v>
      </c>
      <c r="E130">
        <v>31</v>
      </c>
      <c r="F130">
        <v>13</v>
      </c>
      <c r="G130">
        <v>252</v>
      </c>
      <c r="H130" s="10">
        <v>2201.4699999999998</v>
      </c>
      <c r="I130">
        <v>0</v>
      </c>
      <c r="J130" t="s">
        <v>3</v>
      </c>
      <c r="K130" t="s">
        <v>18</v>
      </c>
      <c r="L130" t="s">
        <v>21</v>
      </c>
      <c r="M130" t="s">
        <v>209</v>
      </c>
    </row>
    <row r="131" spans="1:13" x14ac:dyDescent="0.25">
      <c r="A131" s="9">
        <v>45787</v>
      </c>
      <c r="B131">
        <v>2025</v>
      </c>
      <c r="C131" t="s">
        <v>23</v>
      </c>
      <c r="D131">
        <v>3944</v>
      </c>
      <c r="E131">
        <v>37</v>
      </c>
      <c r="F131">
        <v>28</v>
      </c>
      <c r="G131">
        <v>386</v>
      </c>
      <c r="H131" s="10">
        <v>318.89999999999998</v>
      </c>
      <c r="I131">
        <v>0</v>
      </c>
      <c r="J131" t="s">
        <v>13</v>
      </c>
      <c r="K131" t="s">
        <v>18</v>
      </c>
      <c r="L131" t="s">
        <v>15</v>
      </c>
      <c r="M131" t="s">
        <v>209</v>
      </c>
    </row>
    <row r="132" spans="1:13" x14ac:dyDescent="0.25">
      <c r="A132" s="9">
        <v>45788</v>
      </c>
      <c r="B132">
        <v>2025</v>
      </c>
      <c r="C132" t="s">
        <v>23</v>
      </c>
      <c r="D132">
        <v>3279</v>
      </c>
      <c r="E132">
        <v>31</v>
      </c>
      <c r="F132">
        <v>47</v>
      </c>
      <c r="G132">
        <v>447</v>
      </c>
      <c r="H132" s="10">
        <v>1567.17</v>
      </c>
      <c r="I132">
        <v>0</v>
      </c>
      <c r="J132" t="s">
        <v>13</v>
      </c>
      <c r="K132" t="s">
        <v>8</v>
      </c>
      <c r="L132" t="s">
        <v>10</v>
      </c>
      <c r="M132" t="s">
        <v>209</v>
      </c>
    </row>
    <row r="133" spans="1:13" x14ac:dyDescent="0.25">
      <c r="A133" s="9">
        <v>45789</v>
      </c>
      <c r="B133">
        <v>2025</v>
      </c>
      <c r="C133" t="s">
        <v>23</v>
      </c>
      <c r="D133">
        <v>3724</v>
      </c>
      <c r="E133">
        <v>39</v>
      </c>
      <c r="F133">
        <v>24</v>
      </c>
      <c r="G133">
        <v>67</v>
      </c>
      <c r="H133" s="10">
        <v>1914.89</v>
      </c>
      <c r="I133">
        <v>0</v>
      </c>
      <c r="J133" t="s">
        <v>13</v>
      </c>
      <c r="K133" t="s">
        <v>8</v>
      </c>
      <c r="L133" t="s">
        <v>17</v>
      </c>
      <c r="M133" t="s">
        <v>209</v>
      </c>
    </row>
    <row r="134" spans="1:13" x14ac:dyDescent="0.25">
      <c r="A134" s="9">
        <v>45790</v>
      </c>
      <c r="B134">
        <v>2025</v>
      </c>
      <c r="C134" t="s">
        <v>23</v>
      </c>
      <c r="D134">
        <v>4606</v>
      </c>
      <c r="E134">
        <v>21</v>
      </c>
      <c r="F134">
        <v>42</v>
      </c>
      <c r="G134">
        <v>386</v>
      </c>
      <c r="H134" s="10">
        <v>2492.41</v>
      </c>
      <c r="I134">
        <v>0</v>
      </c>
      <c r="J134" t="s">
        <v>13</v>
      </c>
      <c r="K134" t="s">
        <v>2</v>
      </c>
      <c r="L134" t="s">
        <v>15</v>
      </c>
      <c r="M134" t="s">
        <v>209</v>
      </c>
    </row>
    <row r="135" spans="1:13" x14ac:dyDescent="0.25">
      <c r="A135" s="9">
        <v>45791</v>
      </c>
      <c r="B135">
        <v>2025</v>
      </c>
      <c r="C135" t="s">
        <v>23</v>
      </c>
      <c r="D135">
        <v>2996</v>
      </c>
      <c r="E135">
        <v>11</v>
      </c>
      <c r="F135">
        <v>20</v>
      </c>
      <c r="G135">
        <v>304</v>
      </c>
      <c r="H135" s="10">
        <v>463.51</v>
      </c>
      <c r="I135">
        <v>0</v>
      </c>
      <c r="J135" t="s">
        <v>13</v>
      </c>
      <c r="K135" t="s">
        <v>11</v>
      </c>
      <c r="L135" t="s">
        <v>10</v>
      </c>
      <c r="M135" t="s">
        <v>209</v>
      </c>
    </row>
    <row r="136" spans="1:13" x14ac:dyDescent="0.25">
      <c r="A136" s="9">
        <v>45792</v>
      </c>
      <c r="B136">
        <v>2025</v>
      </c>
      <c r="C136" t="s">
        <v>23</v>
      </c>
      <c r="D136">
        <v>4581</v>
      </c>
      <c r="E136">
        <v>28</v>
      </c>
      <c r="F136">
        <v>35</v>
      </c>
      <c r="G136">
        <v>374</v>
      </c>
      <c r="H136" s="10">
        <v>942.86</v>
      </c>
      <c r="I136">
        <v>0</v>
      </c>
      <c r="J136" t="s">
        <v>13</v>
      </c>
      <c r="K136" t="s">
        <v>18</v>
      </c>
      <c r="L136" t="s">
        <v>10</v>
      </c>
      <c r="M136" t="s">
        <v>209</v>
      </c>
    </row>
    <row r="137" spans="1:13" x14ac:dyDescent="0.25">
      <c r="A137" s="9">
        <v>45793</v>
      </c>
      <c r="B137">
        <v>2025</v>
      </c>
      <c r="C137" t="s">
        <v>23</v>
      </c>
      <c r="D137">
        <v>4560</v>
      </c>
      <c r="E137">
        <v>14</v>
      </c>
      <c r="F137">
        <v>44</v>
      </c>
      <c r="G137">
        <v>60</v>
      </c>
      <c r="H137" s="10">
        <v>2274.64</v>
      </c>
      <c r="I137">
        <v>0</v>
      </c>
      <c r="J137" t="s">
        <v>13</v>
      </c>
      <c r="K137" t="s">
        <v>18</v>
      </c>
      <c r="L137" t="s">
        <v>15</v>
      </c>
      <c r="M137" t="s">
        <v>209</v>
      </c>
    </row>
    <row r="138" spans="1:13" x14ac:dyDescent="0.25">
      <c r="A138" s="9">
        <v>45794</v>
      </c>
      <c r="B138">
        <v>2025</v>
      </c>
      <c r="C138" t="s">
        <v>23</v>
      </c>
      <c r="D138">
        <v>4845</v>
      </c>
      <c r="E138">
        <v>18</v>
      </c>
      <c r="F138">
        <v>27</v>
      </c>
      <c r="G138">
        <v>394</v>
      </c>
      <c r="H138" s="10">
        <v>1194.1199999999999</v>
      </c>
      <c r="I138">
        <v>0</v>
      </c>
      <c r="J138" t="s">
        <v>13</v>
      </c>
      <c r="K138" t="s">
        <v>11</v>
      </c>
      <c r="L138" t="s">
        <v>10</v>
      </c>
      <c r="M138" t="s">
        <v>209</v>
      </c>
    </row>
    <row r="139" spans="1:13" x14ac:dyDescent="0.25">
      <c r="A139" s="9">
        <v>45795</v>
      </c>
      <c r="B139">
        <v>2025</v>
      </c>
      <c r="C139" t="s">
        <v>23</v>
      </c>
      <c r="D139">
        <v>3953</v>
      </c>
      <c r="E139">
        <v>9</v>
      </c>
      <c r="F139">
        <v>9</v>
      </c>
      <c r="G139">
        <v>174</v>
      </c>
      <c r="H139" s="10">
        <v>1627.89</v>
      </c>
      <c r="I139">
        <v>0</v>
      </c>
      <c r="J139" t="s">
        <v>13</v>
      </c>
      <c r="K139" t="s">
        <v>18</v>
      </c>
      <c r="L139" t="s">
        <v>1</v>
      </c>
      <c r="M139" t="s">
        <v>209</v>
      </c>
    </row>
    <row r="140" spans="1:13" x14ac:dyDescent="0.25">
      <c r="A140" s="9">
        <v>45796</v>
      </c>
      <c r="B140">
        <v>2025</v>
      </c>
      <c r="C140" t="s">
        <v>23</v>
      </c>
      <c r="D140">
        <v>3275</v>
      </c>
      <c r="E140">
        <v>43</v>
      </c>
      <c r="F140">
        <v>24</v>
      </c>
      <c r="G140">
        <v>418</v>
      </c>
      <c r="H140" s="10">
        <v>1362.01</v>
      </c>
      <c r="I140">
        <v>0</v>
      </c>
      <c r="J140" t="s">
        <v>13</v>
      </c>
      <c r="K140" t="s">
        <v>2</v>
      </c>
      <c r="L140" t="s">
        <v>1</v>
      </c>
      <c r="M140" t="s">
        <v>209</v>
      </c>
    </row>
    <row r="141" spans="1:13" x14ac:dyDescent="0.25">
      <c r="A141" s="9">
        <v>45797</v>
      </c>
      <c r="B141">
        <v>2025</v>
      </c>
      <c r="C141" t="s">
        <v>23</v>
      </c>
      <c r="D141">
        <v>4208</v>
      </c>
      <c r="E141">
        <v>45</v>
      </c>
      <c r="F141">
        <v>3</v>
      </c>
      <c r="G141">
        <v>322</v>
      </c>
      <c r="H141" s="10">
        <v>1641.01</v>
      </c>
      <c r="I141">
        <v>0</v>
      </c>
      <c r="J141" t="s">
        <v>13</v>
      </c>
      <c r="K141" t="s">
        <v>18</v>
      </c>
      <c r="L141" t="s">
        <v>10</v>
      </c>
      <c r="M141" t="s">
        <v>209</v>
      </c>
    </row>
    <row r="142" spans="1:13" x14ac:dyDescent="0.25">
      <c r="A142" s="9">
        <v>45798</v>
      </c>
      <c r="B142">
        <v>2025</v>
      </c>
      <c r="C142" t="s">
        <v>23</v>
      </c>
      <c r="D142">
        <v>626</v>
      </c>
      <c r="E142">
        <v>17</v>
      </c>
      <c r="F142">
        <v>30</v>
      </c>
      <c r="G142">
        <v>128</v>
      </c>
      <c r="H142" s="10">
        <v>1675.25</v>
      </c>
      <c r="I142">
        <v>0</v>
      </c>
      <c r="J142" t="s">
        <v>13</v>
      </c>
      <c r="K142" t="s">
        <v>11</v>
      </c>
      <c r="L142" t="s">
        <v>21</v>
      </c>
      <c r="M142" t="s">
        <v>209</v>
      </c>
    </row>
    <row r="143" spans="1:13" x14ac:dyDescent="0.25">
      <c r="A143" s="9">
        <v>45799</v>
      </c>
      <c r="B143">
        <v>2025</v>
      </c>
      <c r="C143" t="s">
        <v>23</v>
      </c>
      <c r="D143">
        <v>3188</v>
      </c>
      <c r="E143">
        <v>24</v>
      </c>
      <c r="F143">
        <v>-1</v>
      </c>
      <c r="G143">
        <v>36</v>
      </c>
      <c r="H143" s="10">
        <v>956.18</v>
      </c>
      <c r="I143">
        <v>55</v>
      </c>
      <c r="J143" t="s">
        <v>13</v>
      </c>
      <c r="K143" t="s">
        <v>18</v>
      </c>
      <c r="L143" t="s">
        <v>15</v>
      </c>
      <c r="M143" t="s">
        <v>209</v>
      </c>
    </row>
    <row r="144" spans="1:13" x14ac:dyDescent="0.25">
      <c r="A144" s="9">
        <v>45800</v>
      </c>
      <c r="B144">
        <v>2025</v>
      </c>
      <c r="C144" t="s">
        <v>23</v>
      </c>
      <c r="D144">
        <v>1925</v>
      </c>
      <c r="E144">
        <v>15</v>
      </c>
      <c r="F144">
        <v>27</v>
      </c>
      <c r="G144">
        <v>360</v>
      </c>
      <c r="H144" s="10">
        <v>1816.33</v>
      </c>
      <c r="I144">
        <v>0</v>
      </c>
      <c r="J144" t="s">
        <v>13</v>
      </c>
      <c r="K144" t="s">
        <v>11</v>
      </c>
      <c r="L144" t="s">
        <v>17</v>
      </c>
      <c r="M144" t="s">
        <v>209</v>
      </c>
    </row>
    <row r="145" spans="1:13" x14ac:dyDescent="0.25">
      <c r="A145" s="9">
        <v>45801</v>
      </c>
      <c r="B145">
        <v>2025</v>
      </c>
      <c r="C145" t="s">
        <v>23</v>
      </c>
      <c r="D145">
        <v>1032</v>
      </c>
      <c r="E145">
        <v>45</v>
      </c>
      <c r="F145">
        <v>36</v>
      </c>
      <c r="G145">
        <v>329</v>
      </c>
      <c r="H145" s="10">
        <v>2341.36</v>
      </c>
      <c r="I145">
        <v>0</v>
      </c>
      <c r="J145" t="s">
        <v>13</v>
      </c>
      <c r="K145" t="s">
        <v>18</v>
      </c>
      <c r="L145" t="s">
        <v>10</v>
      </c>
      <c r="M145" t="s">
        <v>209</v>
      </c>
    </row>
    <row r="146" spans="1:13" x14ac:dyDescent="0.25">
      <c r="A146" s="9">
        <v>45802</v>
      </c>
      <c r="B146">
        <v>2025</v>
      </c>
      <c r="C146" t="s">
        <v>23</v>
      </c>
      <c r="D146">
        <v>1005</v>
      </c>
      <c r="E146">
        <v>12</v>
      </c>
      <c r="F146">
        <v>34</v>
      </c>
      <c r="G146">
        <v>307</v>
      </c>
      <c r="H146" s="10">
        <v>1847.61</v>
      </c>
      <c r="I146">
        <v>0</v>
      </c>
      <c r="J146" t="s">
        <v>3</v>
      </c>
      <c r="K146" t="s">
        <v>18</v>
      </c>
      <c r="L146" t="s">
        <v>10</v>
      </c>
      <c r="M146" t="s">
        <v>209</v>
      </c>
    </row>
    <row r="147" spans="1:13" x14ac:dyDescent="0.25">
      <c r="A147" s="9">
        <v>45803</v>
      </c>
      <c r="B147">
        <v>2025</v>
      </c>
      <c r="C147" t="s">
        <v>23</v>
      </c>
      <c r="D147">
        <v>4927</v>
      </c>
      <c r="E147">
        <v>6</v>
      </c>
      <c r="F147">
        <v>2</v>
      </c>
      <c r="G147">
        <v>136</v>
      </c>
      <c r="H147" s="10">
        <v>92.14</v>
      </c>
      <c r="I147">
        <v>0</v>
      </c>
      <c r="J147" t="s">
        <v>3</v>
      </c>
      <c r="K147" t="s">
        <v>18</v>
      </c>
      <c r="L147" t="s">
        <v>1</v>
      </c>
      <c r="M147" t="s">
        <v>209</v>
      </c>
    </row>
    <row r="148" spans="1:13" x14ac:dyDescent="0.25">
      <c r="A148" s="9">
        <v>45804</v>
      </c>
      <c r="B148">
        <v>2025</v>
      </c>
      <c r="C148" t="s">
        <v>23</v>
      </c>
      <c r="D148">
        <v>1460</v>
      </c>
      <c r="E148">
        <v>44</v>
      </c>
      <c r="F148">
        <v>47</v>
      </c>
      <c r="G148">
        <v>253</v>
      </c>
      <c r="H148" s="10">
        <v>2397.16</v>
      </c>
      <c r="I148">
        <v>0</v>
      </c>
      <c r="J148" t="s">
        <v>13</v>
      </c>
      <c r="K148" t="s">
        <v>8</v>
      </c>
      <c r="L148" t="s">
        <v>10</v>
      </c>
      <c r="M148" t="s">
        <v>209</v>
      </c>
    </row>
    <row r="149" spans="1:13" x14ac:dyDescent="0.25">
      <c r="A149" s="9">
        <v>45805</v>
      </c>
      <c r="B149">
        <v>2025</v>
      </c>
      <c r="C149" t="s">
        <v>23</v>
      </c>
      <c r="D149">
        <v>4959</v>
      </c>
      <c r="E149">
        <v>35</v>
      </c>
      <c r="F149">
        <v>6</v>
      </c>
      <c r="G149">
        <v>407</v>
      </c>
      <c r="H149" s="10">
        <v>1483.29</v>
      </c>
      <c r="I149">
        <v>0</v>
      </c>
      <c r="J149" t="s">
        <v>3</v>
      </c>
      <c r="K149" t="s">
        <v>18</v>
      </c>
      <c r="L149" t="s">
        <v>1</v>
      </c>
      <c r="M149" t="s">
        <v>209</v>
      </c>
    </row>
    <row r="150" spans="1:13" x14ac:dyDescent="0.25">
      <c r="A150" s="9">
        <v>45806</v>
      </c>
      <c r="B150">
        <v>2025</v>
      </c>
      <c r="C150" t="s">
        <v>23</v>
      </c>
      <c r="D150">
        <v>3935</v>
      </c>
      <c r="E150">
        <v>7</v>
      </c>
      <c r="F150">
        <v>6</v>
      </c>
      <c r="G150">
        <v>273</v>
      </c>
      <c r="H150" s="10">
        <v>1799.14</v>
      </c>
      <c r="I150">
        <v>0</v>
      </c>
      <c r="J150" t="s">
        <v>13</v>
      </c>
      <c r="K150" t="s">
        <v>2</v>
      </c>
      <c r="L150" t="s">
        <v>10</v>
      </c>
      <c r="M150" t="s">
        <v>209</v>
      </c>
    </row>
    <row r="151" spans="1:13" x14ac:dyDescent="0.25">
      <c r="A151" s="9">
        <v>45807</v>
      </c>
      <c r="B151">
        <v>2025</v>
      </c>
      <c r="C151" t="s">
        <v>23</v>
      </c>
      <c r="D151">
        <v>4272</v>
      </c>
      <c r="E151">
        <v>45</v>
      </c>
      <c r="F151">
        <v>16</v>
      </c>
      <c r="G151">
        <v>366</v>
      </c>
      <c r="H151" s="10">
        <v>247.44</v>
      </c>
      <c r="I151">
        <v>0</v>
      </c>
      <c r="J151" t="s">
        <v>13</v>
      </c>
      <c r="K151" t="s">
        <v>18</v>
      </c>
      <c r="L151" t="s">
        <v>21</v>
      </c>
      <c r="M151" t="s">
        <v>209</v>
      </c>
    </row>
    <row r="152" spans="1:13" x14ac:dyDescent="0.25">
      <c r="A152" s="9">
        <v>45808</v>
      </c>
      <c r="B152">
        <v>2025</v>
      </c>
      <c r="C152" t="s">
        <v>23</v>
      </c>
      <c r="D152">
        <v>3748</v>
      </c>
      <c r="E152">
        <v>42</v>
      </c>
      <c r="F152">
        <v>22</v>
      </c>
      <c r="G152">
        <v>114</v>
      </c>
      <c r="H152" s="10">
        <v>2456.4899999999998</v>
      </c>
      <c r="I152">
        <v>0</v>
      </c>
      <c r="J152" t="s">
        <v>13</v>
      </c>
      <c r="K152" t="s">
        <v>8</v>
      </c>
      <c r="L152" t="s">
        <v>7</v>
      </c>
      <c r="M152" t="s">
        <v>209</v>
      </c>
    </row>
    <row r="153" spans="1:13" x14ac:dyDescent="0.25">
      <c r="A153" s="9">
        <v>45809</v>
      </c>
      <c r="B153">
        <v>2025</v>
      </c>
      <c r="C153" t="s">
        <v>22</v>
      </c>
      <c r="D153">
        <v>3637</v>
      </c>
      <c r="E153">
        <v>10</v>
      </c>
      <c r="F153">
        <v>28</v>
      </c>
      <c r="G153">
        <v>360</v>
      </c>
      <c r="H153" s="10">
        <v>1213.3800000000001</v>
      </c>
      <c r="I153">
        <v>0</v>
      </c>
      <c r="J153" t="s">
        <v>13</v>
      </c>
      <c r="K153" t="s">
        <v>18</v>
      </c>
      <c r="L153" t="s">
        <v>7</v>
      </c>
      <c r="M153" t="s">
        <v>209</v>
      </c>
    </row>
    <row r="154" spans="1:13" x14ac:dyDescent="0.25">
      <c r="A154" s="9">
        <v>45810</v>
      </c>
      <c r="B154">
        <v>2025</v>
      </c>
      <c r="C154" t="s">
        <v>22</v>
      </c>
      <c r="D154">
        <v>1850</v>
      </c>
      <c r="E154">
        <v>41</v>
      </c>
      <c r="F154">
        <v>15</v>
      </c>
      <c r="G154">
        <v>204</v>
      </c>
      <c r="H154" s="10">
        <v>1347.46</v>
      </c>
      <c r="I154">
        <v>0</v>
      </c>
      <c r="J154" t="s">
        <v>3</v>
      </c>
      <c r="K154" t="s">
        <v>8</v>
      </c>
      <c r="L154" t="s">
        <v>10</v>
      </c>
      <c r="M154" t="s">
        <v>209</v>
      </c>
    </row>
    <row r="155" spans="1:13" x14ac:dyDescent="0.25">
      <c r="A155" s="9">
        <v>45811</v>
      </c>
      <c r="B155">
        <v>2025</v>
      </c>
      <c r="C155" t="s">
        <v>22</v>
      </c>
      <c r="D155">
        <v>3728</v>
      </c>
      <c r="E155">
        <v>29</v>
      </c>
      <c r="F155">
        <v>39</v>
      </c>
      <c r="G155">
        <v>376</v>
      </c>
      <c r="H155" s="10">
        <v>366.93</v>
      </c>
      <c r="I155">
        <v>0</v>
      </c>
      <c r="J155" t="s">
        <v>13</v>
      </c>
      <c r="K155" t="s">
        <v>18</v>
      </c>
      <c r="L155" t="s">
        <v>10</v>
      </c>
      <c r="M155" t="s">
        <v>209</v>
      </c>
    </row>
    <row r="156" spans="1:13" x14ac:dyDescent="0.25">
      <c r="A156" s="9">
        <v>45812</v>
      </c>
      <c r="B156">
        <v>2025</v>
      </c>
      <c r="C156" t="s">
        <v>22</v>
      </c>
      <c r="D156">
        <v>2662</v>
      </c>
      <c r="E156">
        <v>6</v>
      </c>
      <c r="F156">
        <v>32</v>
      </c>
      <c r="G156">
        <v>425</v>
      </c>
      <c r="H156" s="10">
        <v>1534.01</v>
      </c>
      <c r="I156">
        <v>0</v>
      </c>
      <c r="J156" t="s">
        <v>13</v>
      </c>
      <c r="K156" t="s">
        <v>18</v>
      </c>
      <c r="L156" t="s">
        <v>17</v>
      </c>
      <c r="M156" t="s">
        <v>209</v>
      </c>
    </row>
    <row r="157" spans="1:13" x14ac:dyDescent="0.25">
      <c r="A157" s="9">
        <v>45813</v>
      </c>
      <c r="B157">
        <v>2025</v>
      </c>
      <c r="C157" t="s">
        <v>22</v>
      </c>
      <c r="D157">
        <v>3455</v>
      </c>
      <c r="E157">
        <v>5</v>
      </c>
      <c r="F157">
        <v>21</v>
      </c>
      <c r="G157">
        <v>388</v>
      </c>
      <c r="H157" s="10">
        <v>2086.17</v>
      </c>
      <c r="I157">
        <v>0</v>
      </c>
      <c r="J157" t="s">
        <v>3</v>
      </c>
      <c r="K157" t="s">
        <v>18</v>
      </c>
      <c r="L157" t="s">
        <v>17</v>
      </c>
      <c r="M157" t="s">
        <v>209</v>
      </c>
    </row>
    <row r="158" spans="1:13" x14ac:dyDescent="0.25">
      <c r="A158" s="9">
        <v>45814</v>
      </c>
      <c r="B158">
        <v>2025</v>
      </c>
      <c r="C158" t="s">
        <v>22</v>
      </c>
      <c r="D158">
        <v>3100</v>
      </c>
      <c r="E158">
        <v>18</v>
      </c>
      <c r="F158">
        <v>44</v>
      </c>
      <c r="G158">
        <v>197</v>
      </c>
      <c r="H158" s="10">
        <v>1862.94</v>
      </c>
      <c r="I158">
        <v>0</v>
      </c>
      <c r="J158" t="s">
        <v>13</v>
      </c>
      <c r="K158" t="s">
        <v>18</v>
      </c>
      <c r="L158" t="s">
        <v>7</v>
      </c>
      <c r="M158" t="s">
        <v>209</v>
      </c>
    </row>
    <row r="159" spans="1:13" x14ac:dyDescent="0.25">
      <c r="A159" s="9">
        <v>45815</v>
      </c>
      <c r="B159">
        <v>2025</v>
      </c>
      <c r="C159" t="s">
        <v>22</v>
      </c>
      <c r="D159">
        <v>1047</v>
      </c>
      <c r="E159">
        <v>24</v>
      </c>
      <c r="F159">
        <v>21</v>
      </c>
      <c r="G159">
        <v>80</v>
      </c>
      <c r="H159" s="10">
        <v>1017.43</v>
      </c>
      <c r="I159">
        <v>0</v>
      </c>
      <c r="J159" t="s">
        <v>3</v>
      </c>
      <c r="K159" t="s">
        <v>18</v>
      </c>
      <c r="L159" t="s">
        <v>1</v>
      </c>
      <c r="M159" t="s">
        <v>209</v>
      </c>
    </row>
    <row r="160" spans="1:13" x14ac:dyDescent="0.25">
      <c r="A160" s="9">
        <v>45816</v>
      </c>
      <c r="B160">
        <v>2025</v>
      </c>
      <c r="C160" t="s">
        <v>22</v>
      </c>
      <c r="D160">
        <v>2973</v>
      </c>
      <c r="E160">
        <v>34</v>
      </c>
      <c r="F160">
        <v>46</v>
      </c>
      <c r="G160">
        <v>319</v>
      </c>
      <c r="H160" s="10">
        <v>1963.97</v>
      </c>
      <c r="I160">
        <v>0</v>
      </c>
      <c r="J160" t="s">
        <v>3</v>
      </c>
      <c r="K160" t="s">
        <v>18</v>
      </c>
      <c r="L160" t="s">
        <v>21</v>
      </c>
      <c r="M160" t="s">
        <v>209</v>
      </c>
    </row>
    <row r="161" spans="1:13" x14ac:dyDescent="0.25">
      <c r="A161" s="9">
        <v>45817</v>
      </c>
      <c r="B161">
        <v>2025</v>
      </c>
      <c r="C161" t="s">
        <v>22</v>
      </c>
      <c r="D161">
        <v>2597</v>
      </c>
      <c r="E161">
        <v>12</v>
      </c>
      <c r="F161">
        <v>47</v>
      </c>
      <c r="G161">
        <v>274</v>
      </c>
      <c r="H161" s="10">
        <v>718.31</v>
      </c>
      <c r="I161">
        <v>0</v>
      </c>
      <c r="J161" t="s">
        <v>3</v>
      </c>
      <c r="K161" t="s">
        <v>11</v>
      </c>
      <c r="L161" t="s">
        <v>1</v>
      </c>
      <c r="M161" t="s">
        <v>209</v>
      </c>
    </row>
    <row r="162" spans="1:13" x14ac:dyDescent="0.25">
      <c r="A162" s="9">
        <v>45818</v>
      </c>
      <c r="B162">
        <v>2025</v>
      </c>
      <c r="C162" t="s">
        <v>22</v>
      </c>
      <c r="D162">
        <v>4565</v>
      </c>
      <c r="E162">
        <v>12</v>
      </c>
      <c r="F162">
        <v>47</v>
      </c>
      <c r="G162">
        <v>188</v>
      </c>
      <c r="H162" s="10">
        <v>1535.92</v>
      </c>
      <c r="I162">
        <v>0</v>
      </c>
      <c r="J162" t="s">
        <v>13</v>
      </c>
      <c r="K162" t="s">
        <v>11</v>
      </c>
      <c r="L162" t="s">
        <v>7</v>
      </c>
      <c r="M162" t="s">
        <v>209</v>
      </c>
    </row>
    <row r="163" spans="1:13" x14ac:dyDescent="0.25">
      <c r="A163" s="9">
        <v>45819</v>
      </c>
      <c r="B163">
        <v>2025</v>
      </c>
      <c r="C163" t="s">
        <v>22</v>
      </c>
      <c r="D163">
        <v>1903</v>
      </c>
      <c r="E163">
        <v>4</v>
      </c>
      <c r="F163">
        <v>30</v>
      </c>
      <c r="G163">
        <v>249</v>
      </c>
      <c r="H163" s="10">
        <v>25.75</v>
      </c>
      <c r="I163">
        <v>0</v>
      </c>
      <c r="J163" t="s">
        <v>13</v>
      </c>
      <c r="K163" t="s">
        <v>11</v>
      </c>
      <c r="L163" t="s">
        <v>10</v>
      </c>
      <c r="M163" t="s">
        <v>209</v>
      </c>
    </row>
    <row r="164" spans="1:13" x14ac:dyDescent="0.25">
      <c r="A164" s="9">
        <v>45820</v>
      </c>
      <c r="B164">
        <v>2025</v>
      </c>
      <c r="C164" t="s">
        <v>22</v>
      </c>
      <c r="D164">
        <v>3668</v>
      </c>
      <c r="E164">
        <v>36</v>
      </c>
      <c r="F164">
        <v>20</v>
      </c>
      <c r="G164">
        <v>397</v>
      </c>
      <c r="H164" s="10">
        <v>506.28</v>
      </c>
      <c r="I164">
        <v>0</v>
      </c>
      <c r="J164" t="s">
        <v>13</v>
      </c>
      <c r="K164" t="s">
        <v>18</v>
      </c>
      <c r="L164" t="s">
        <v>10</v>
      </c>
      <c r="M164" t="s">
        <v>209</v>
      </c>
    </row>
    <row r="165" spans="1:13" x14ac:dyDescent="0.25">
      <c r="A165" s="9">
        <v>45821</v>
      </c>
      <c r="B165">
        <v>2025</v>
      </c>
      <c r="C165" t="s">
        <v>22</v>
      </c>
      <c r="D165">
        <v>4851</v>
      </c>
      <c r="E165">
        <v>23</v>
      </c>
      <c r="F165">
        <v>16</v>
      </c>
      <c r="G165">
        <v>73</v>
      </c>
      <c r="H165" s="10">
        <v>2026.1</v>
      </c>
      <c r="I165">
        <v>0</v>
      </c>
      <c r="J165" t="s">
        <v>13</v>
      </c>
      <c r="K165" t="s">
        <v>18</v>
      </c>
      <c r="L165" t="s">
        <v>7</v>
      </c>
      <c r="M165" t="s">
        <v>209</v>
      </c>
    </row>
    <row r="166" spans="1:13" x14ac:dyDescent="0.25">
      <c r="A166" s="9">
        <v>45822</v>
      </c>
      <c r="B166">
        <v>2025</v>
      </c>
      <c r="C166" t="s">
        <v>22</v>
      </c>
      <c r="D166">
        <v>3835</v>
      </c>
      <c r="E166">
        <v>22</v>
      </c>
      <c r="F166">
        <v>5</v>
      </c>
      <c r="G166">
        <v>114</v>
      </c>
      <c r="H166" s="10">
        <v>652.19000000000005</v>
      </c>
      <c r="I166">
        <v>0</v>
      </c>
      <c r="J166" t="s">
        <v>3</v>
      </c>
      <c r="K166" t="s">
        <v>18</v>
      </c>
      <c r="L166" t="s">
        <v>1</v>
      </c>
      <c r="M166" t="s">
        <v>209</v>
      </c>
    </row>
    <row r="167" spans="1:13" x14ac:dyDescent="0.25">
      <c r="A167" s="9">
        <v>45823</v>
      </c>
      <c r="B167">
        <v>2025</v>
      </c>
      <c r="C167" t="s">
        <v>22</v>
      </c>
      <c r="D167">
        <v>4196</v>
      </c>
      <c r="E167">
        <v>10</v>
      </c>
      <c r="F167">
        <v>-4</v>
      </c>
      <c r="G167">
        <v>40</v>
      </c>
      <c r="H167" s="10">
        <v>2322.5300000000002</v>
      </c>
      <c r="I167">
        <v>0</v>
      </c>
      <c r="J167" t="s">
        <v>13</v>
      </c>
      <c r="K167" t="s">
        <v>18</v>
      </c>
      <c r="L167" t="s">
        <v>1</v>
      </c>
      <c r="M167" t="s">
        <v>209</v>
      </c>
    </row>
    <row r="168" spans="1:13" x14ac:dyDescent="0.25">
      <c r="A168" s="9">
        <v>45824</v>
      </c>
      <c r="B168">
        <v>2025</v>
      </c>
      <c r="C168" t="s">
        <v>22</v>
      </c>
      <c r="D168">
        <v>3028</v>
      </c>
      <c r="E168">
        <v>34</v>
      </c>
      <c r="F168">
        <v>18</v>
      </c>
      <c r="G168">
        <v>226</v>
      </c>
      <c r="H168" s="10">
        <v>950.89</v>
      </c>
      <c r="I168">
        <v>0</v>
      </c>
      <c r="J168" t="s">
        <v>3</v>
      </c>
      <c r="K168" t="s">
        <v>8</v>
      </c>
      <c r="L168" t="s">
        <v>21</v>
      </c>
      <c r="M168" t="s">
        <v>209</v>
      </c>
    </row>
    <row r="169" spans="1:13" x14ac:dyDescent="0.25">
      <c r="A169" s="9">
        <v>45825</v>
      </c>
      <c r="B169">
        <v>2025</v>
      </c>
      <c r="C169" t="s">
        <v>22</v>
      </c>
      <c r="D169">
        <v>4081</v>
      </c>
      <c r="E169">
        <v>41</v>
      </c>
      <c r="F169">
        <v>39</v>
      </c>
      <c r="G169">
        <v>384</v>
      </c>
      <c r="H169" s="10">
        <v>1255.05</v>
      </c>
      <c r="I169">
        <v>0</v>
      </c>
      <c r="J169" t="s">
        <v>13</v>
      </c>
      <c r="K169" t="s">
        <v>18</v>
      </c>
      <c r="L169" t="s">
        <v>7</v>
      </c>
      <c r="M169" t="s">
        <v>209</v>
      </c>
    </row>
    <row r="170" spans="1:13" x14ac:dyDescent="0.25">
      <c r="A170" s="9">
        <v>45826</v>
      </c>
      <c r="B170">
        <v>2025</v>
      </c>
      <c r="C170" t="s">
        <v>22</v>
      </c>
      <c r="D170">
        <v>4867</v>
      </c>
      <c r="E170">
        <v>13</v>
      </c>
      <c r="F170">
        <v>42</v>
      </c>
      <c r="G170">
        <v>103</v>
      </c>
      <c r="H170" s="10">
        <v>425.71</v>
      </c>
      <c r="I170">
        <v>0</v>
      </c>
      <c r="J170" t="s">
        <v>3</v>
      </c>
      <c r="K170" t="s">
        <v>18</v>
      </c>
      <c r="L170" t="s">
        <v>7</v>
      </c>
      <c r="M170" t="s">
        <v>209</v>
      </c>
    </row>
    <row r="171" spans="1:13" x14ac:dyDescent="0.25">
      <c r="A171" s="9">
        <v>45827</v>
      </c>
      <c r="B171">
        <v>2025</v>
      </c>
      <c r="C171" t="s">
        <v>22</v>
      </c>
      <c r="D171">
        <v>4487</v>
      </c>
      <c r="E171">
        <v>26</v>
      </c>
      <c r="F171">
        <v>43</v>
      </c>
      <c r="G171">
        <v>163</v>
      </c>
      <c r="H171" s="10">
        <v>1572.27</v>
      </c>
      <c r="I171">
        <v>0</v>
      </c>
      <c r="J171" t="s">
        <v>3</v>
      </c>
      <c r="K171" t="s">
        <v>18</v>
      </c>
      <c r="L171" t="s">
        <v>10</v>
      </c>
      <c r="M171" t="s">
        <v>209</v>
      </c>
    </row>
    <row r="172" spans="1:13" x14ac:dyDescent="0.25">
      <c r="A172" s="9">
        <v>45828</v>
      </c>
      <c r="B172">
        <v>2025</v>
      </c>
      <c r="C172" t="s">
        <v>22</v>
      </c>
      <c r="D172">
        <v>2611</v>
      </c>
      <c r="E172">
        <v>35</v>
      </c>
      <c r="F172">
        <v>-5</v>
      </c>
      <c r="G172">
        <v>180</v>
      </c>
      <c r="H172" s="10">
        <v>620.41</v>
      </c>
      <c r="I172">
        <v>0</v>
      </c>
      <c r="J172" t="s">
        <v>3</v>
      </c>
      <c r="K172" t="s">
        <v>18</v>
      </c>
      <c r="L172" t="s">
        <v>7</v>
      </c>
      <c r="M172" t="s">
        <v>209</v>
      </c>
    </row>
    <row r="173" spans="1:13" x14ac:dyDescent="0.25">
      <c r="A173" s="9">
        <v>45829</v>
      </c>
      <c r="B173">
        <v>2025</v>
      </c>
      <c r="C173" t="s">
        <v>22</v>
      </c>
      <c r="D173">
        <v>1323</v>
      </c>
      <c r="E173">
        <v>7</v>
      </c>
      <c r="F173">
        <v>14</v>
      </c>
      <c r="G173">
        <v>37</v>
      </c>
      <c r="H173" s="10">
        <v>926.39</v>
      </c>
      <c r="I173">
        <v>0</v>
      </c>
      <c r="J173" t="s">
        <v>3</v>
      </c>
      <c r="K173" t="s">
        <v>8</v>
      </c>
      <c r="L173" t="s">
        <v>1</v>
      </c>
      <c r="M173" t="s">
        <v>209</v>
      </c>
    </row>
    <row r="174" spans="1:13" x14ac:dyDescent="0.25">
      <c r="A174" s="9">
        <v>45830</v>
      </c>
      <c r="B174">
        <v>2025</v>
      </c>
      <c r="C174" t="s">
        <v>22</v>
      </c>
      <c r="D174">
        <v>4819</v>
      </c>
      <c r="E174">
        <v>3</v>
      </c>
      <c r="F174">
        <v>27</v>
      </c>
      <c r="G174">
        <v>31</v>
      </c>
      <c r="H174" s="10">
        <v>427.36</v>
      </c>
      <c r="I174">
        <v>0</v>
      </c>
      <c r="J174" t="s">
        <v>13</v>
      </c>
      <c r="K174" t="s">
        <v>18</v>
      </c>
      <c r="L174" t="s">
        <v>10</v>
      </c>
      <c r="M174" t="s">
        <v>209</v>
      </c>
    </row>
    <row r="175" spans="1:13" x14ac:dyDescent="0.25">
      <c r="A175" s="9">
        <v>45831</v>
      </c>
      <c r="B175">
        <v>2025</v>
      </c>
      <c r="C175" t="s">
        <v>22</v>
      </c>
      <c r="D175">
        <v>3018</v>
      </c>
      <c r="E175">
        <v>18</v>
      </c>
      <c r="F175">
        <v>47</v>
      </c>
      <c r="G175">
        <v>330</v>
      </c>
      <c r="H175" s="10">
        <v>261.89</v>
      </c>
      <c r="I175">
        <v>0</v>
      </c>
      <c r="J175" t="s">
        <v>13</v>
      </c>
      <c r="K175" t="s">
        <v>11</v>
      </c>
      <c r="L175" t="s">
        <v>7</v>
      </c>
      <c r="M175" t="s">
        <v>209</v>
      </c>
    </row>
    <row r="176" spans="1:13" x14ac:dyDescent="0.25">
      <c r="A176" s="9">
        <v>45832</v>
      </c>
      <c r="B176">
        <v>2025</v>
      </c>
      <c r="C176" t="s">
        <v>22</v>
      </c>
      <c r="D176">
        <v>2420</v>
      </c>
      <c r="E176">
        <v>38</v>
      </c>
      <c r="F176">
        <v>3</v>
      </c>
      <c r="G176">
        <v>218</v>
      </c>
      <c r="H176" s="10">
        <v>1113.25</v>
      </c>
      <c r="I176">
        <v>0</v>
      </c>
      <c r="J176" t="s">
        <v>13</v>
      </c>
      <c r="K176" t="s">
        <v>11</v>
      </c>
      <c r="L176" t="s">
        <v>10</v>
      </c>
      <c r="M176" t="s">
        <v>209</v>
      </c>
    </row>
    <row r="177" spans="1:13" x14ac:dyDescent="0.25">
      <c r="A177" s="9">
        <v>45833</v>
      </c>
      <c r="B177">
        <v>2025</v>
      </c>
      <c r="C177" t="s">
        <v>22</v>
      </c>
      <c r="D177">
        <v>3616</v>
      </c>
      <c r="E177">
        <v>42</v>
      </c>
      <c r="F177">
        <v>14</v>
      </c>
      <c r="G177">
        <v>266</v>
      </c>
      <c r="H177" s="10">
        <v>1651.84</v>
      </c>
      <c r="I177">
        <v>0</v>
      </c>
      <c r="J177" t="s">
        <v>13</v>
      </c>
      <c r="K177" t="s">
        <v>18</v>
      </c>
      <c r="L177" t="s">
        <v>15</v>
      </c>
      <c r="M177" t="s">
        <v>209</v>
      </c>
    </row>
    <row r="178" spans="1:13" x14ac:dyDescent="0.25">
      <c r="A178" s="9">
        <v>45834</v>
      </c>
      <c r="B178">
        <v>2025</v>
      </c>
      <c r="C178" t="s">
        <v>22</v>
      </c>
      <c r="D178">
        <v>1072</v>
      </c>
      <c r="E178">
        <v>40</v>
      </c>
      <c r="F178">
        <v>46</v>
      </c>
      <c r="G178">
        <v>49</v>
      </c>
      <c r="H178" s="10">
        <v>1214.1199999999999</v>
      </c>
      <c r="I178">
        <v>0</v>
      </c>
      <c r="J178" t="s">
        <v>3</v>
      </c>
      <c r="K178" t="s">
        <v>11</v>
      </c>
      <c r="L178" t="s">
        <v>7</v>
      </c>
      <c r="M178" t="s">
        <v>209</v>
      </c>
    </row>
    <row r="179" spans="1:13" x14ac:dyDescent="0.25">
      <c r="A179" s="9">
        <v>45835</v>
      </c>
      <c r="B179">
        <v>2025</v>
      </c>
      <c r="C179" t="s">
        <v>22</v>
      </c>
      <c r="D179">
        <v>4661</v>
      </c>
      <c r="E179">
        <v>24</v>
      </c>
      <c r="F179">
        <v>26</v>
      </c>
      <c r="G179">
        <v>220</v>
      </c>
      <c r="H179" s="10">
        <v>375.75</v>
      </c>
      <c r="I179">
        <v>0</v>
      </c>
      <c r="J179" t="s">
        <v>3</v>
      </c>
      <c r="K179" t="s">
        <v>18</v>
      </c>
      <c r="L179" t="s">
        <v>17</v>
      </c>
      <c r="M179" t="s">
        <v>209</v>
      </c>
    </row>
    <row r="180" spans="1:13" x14ac:dyDescent="0.25">
      <c r="A180" s="9">
        <v>45836</v>
      </c>
      <c r="B180">
        <v>2025</v>
      </c>
      <c r="C180" t="s">
        <v>22</v>
      </c>
      <c r="D180">
        <v>3876</v>
      </c>
      <c r="E180">
        <v>8</v>
      </c>
      <c r="F180">
        <v>6</v>
      </c>
      <c r="G180">
        <v>358</v>
      </c>
      <c r="H180" s="10">
        <v>748.72</v>
      </c>
      <c r="I180">
        <v>0</v>
      </c>
      <c r="J180" t="s">
        <v>13</v>
      </c>
      <c r="K180" t="s">
        <v>11</v>
      </c>
      <c r="L180" t="s">
        <v>7</v>
      </c>
      <c r="M180" t="s">
        <v>209</v>
      </c>
    </row>
    <row r="181" spans="1:13" x14ac:dyDescent="0.25">
      <c r="A181" s="9">
        <v>45837</v>
      </c>
      <c r="B181">
        <v>2025</v>
      </c>
      <c r="C181" t="s">
        <v>22</v>
      </c>
      <c r="D181">
        <v>1514</v>
      </c>
      <c r="E181">
        <v>6</v>
      </c>
      <c r="F181">
        <v>34</v>
      </c>
      <c r="G181">
        <v>270</v>
      </c>
      <c r="H181" s="10">
        <v>1987.1</v>
      </c>
      <c r="I181">
        <v>0</v>
      </c>
      <c r="J181" t="s">
        <v>13</v>
      </c>
      <c r="K181" t="s">
        <v>2</v>
      </c>
      <c r="L181" t="s">
        <v>15</v>
      </c>
      <c r="M181" t="s">
        <v>209</v>
      </c>
    </row>
    <row r="182" spans="1:13" x14ac:dyDescent="0.25">
      <c r="A182" s="9">
        <v>45838</v>
      </c>
      <c r="B182">
        <v>2025</v>
      </c>
      <c r="C182" t="s">
        <v>22</v>
      </c>
      <c r="D182">
        <v>772</v>
      </c>
      <c r="E182">
        <v>12</v>
      </c>
      <c r="F182">
        <v>27</v>
      </c>
      <c r="G182">
        <v>358</v>
      </c>
      <c r="H182" s="10">
        <v>2016.07</v>
      </c>
      <c r="I182">
        <v>0</v>
      </c>
      <c r="J182" t="s">
        <v>13</v>
      </c>
      <c r="K182" t="s">
        <v>18</v>
      </c>
      <c r="L182" t="s">
        <v>1</v>
      </c>
      <c r="M182" t="s">
        <v>209</v>
      </c>
    </row>
    <row r="183" spans="1:13" x14ac:dyDescent="0.25">
      <c r="A183" s="9">
        <v>45839</v>
      </c>
      <c r="B183">
        <v>2025</v>
      </c>
      <c r="C183" t="s">
        <v>5</v>
      </c>
      <c r="D183">
        <v>2097</v>
      </c>
      <c r="E183">
        <v>33</v>
      </c>
      <c r="F183">
        <v>-3</v>
      </c>
      <c r="G183">
        <v>208</v>
      </c>
      <c r="H183" s="10">
        <v>1567.37</v>
      </c>
      <c r="I183">
        <v>0</v>
      </c>
      <c r="J183" t="s">
        <v>3</v>
      </c>
      <c r="K183" t="s">
        <v>18</v>
      </c>
      <c r="L183" t="s">
        <v>1</v>
      </c>
      <c r="M183" t="s">
        <v>209</v>
      </c>
    </row>
    <row r="184" spans="1:13" x14ac:dyDescent="0.25">
      <c r="A184" s="9">
        <v>45840</v>
      </c>
      <c r="B184">
        <v>2025</v>
      </c>
      <c r="C184" t="s">
        <v>5</v>
      </c>
      <c r="D184">
        <v>2681</v>
      </c>
      <c r="E184">
        <v>26</v>
      </c>
      <c r="F184">
        <v>4</v>
      </c>
      <c r="G184">
        <v>99</v>
      </c>
      <c r="H184" s="10">
        <v>2015.34</v>
      </c>
      <c r="I184">
        <v>0</v>
      </c>
      <c r="J184" t="s">
        <v>13</v>
      </c>
      <c r="K184" t="s">
        <v>18</v>
      </c>
      <c r="L184" t="s">
        <v>1</v>
      </c>
      <c r="M184" t="s">
        <v>209</v>
      </c>
    </row>
    <row r="185" spans="1:13" x14ac:dyDescent="0.25">
      <c r="A185" s="9">
        <v>45841</v>
      </c>
      <c r="B185">
        <v>2025</v>
      </c>
      <c r="C185" t="s">
        <v>5</v>
      </c>
      <c r="D185">
        <v>4500</v>
      </c>
      <c r="E185">
        <v>38</v>
      </c>
      <c r="F185">
        <v>41</v>
      </c>
      <c r="G185">
        <v>52</v>
      </c>
      <c r="H185" s="10">
        <v>811.88</v>
      </c>
      <c r="I185">
        <v>0</v>
      </c>
      <c r="J185" t="s">
        <v>13</v>
      </c>
      <c r="K185" t="s">
        <v>18</v>
      </c>
      <c r="L185" t="s">
        <v>1</v>
      </c>
      <c r="M185" t="s">
        <v>209</v>
      </c>
    </row>
    <row r="186" spans="1:13" x14ac:dyDescent="0.25">
      <c r="A186" s="9">
        <v>45842</v>
      </c>
      <c r="B186">
        <v>2025</v>
      </c>
      <c r="C186" t="s">
        <v>5</v>
      </c>
      <c r="D186">
        <v>3406</v>
      </c>
      <c r="E186">
        <v>13</v>
      </c>
      <c r="F186">
        <v>15</v>
      </c>
      <c r="G186">
        <v>443</v>
      </c>
      <c r="H186" s="10">
        <v>1424.17</v>
      </c>
      <c r="I186">
        <v>0</v>
      </c>
      <c r="J186" t="s">
        <v>13</v>
      </c>
      <c r="K186" t="s">
        <v>18</v>
      </c>
      <c r="L186" t="s">
        <v>1</v>
      </c>
      <c r="M186" t="s">
        <v>209</v>
      </c>
    </row>
    <row r="187" spans="1:13" x14ac:dyDescent="0.25">
      <c r="A187" s="9">
        <v>45843</v>
      </c>
      <c r="B187">
        <v>2025</v>
      </c>
      <c r="C187" t="s">
        <v>5</v>
      </c>
      <c r="D187">
        <v>2228</v>
      </c>
      <c r="E187">
        <v>7</v>
      </c>
      <c r="F187">
        <v>42</v>
      </c>
      <c r="G187">
        <v>449</v>
      </c>
      <c r="H187" s="10">
        <v>1967.7</v>
      </c>
      <c r="I187">
        <v>55</v>
      </c>
      <c r="J187" t="s">
        <v>13</v>
      </c>
      <c r="K187" t="s">
        <v>18</v>
      </c>
      <c r="L187" t="s">
        <v>7</v>
      </c>
      <c r="M187" t="s">
        <v>209</v>
      </c>
    </row>
    <row r="188" spans="1:13" x14ac:dyDescent="0.25">
      <c r="A188" s="9">
        <v>45844</v>
      </c>
      <c r="B188">
        <v>2025</v>
      </c>
      <c r="C188" t="s">
        <v>5</v>
      </c>
      <c r="D188">
        <v>1386</v>
      </c>
      <c r="E188">
        <v>17</v>
      </c>
      <c r="F188">
        <v>7</v>
      </c>
      <c r="G188">
        <v>79</v>
      </c>
      <c r="H188" s="10">
        <v>2435.7600000000002</v>
      </c>
      <c r="I188">
        <v>0</v>
      </c>
      <c r="J188" t="s">
        <v>13</v>
      </c>
      <c r="K188" t="s">
        <v>18</v>
      </c>
      <c r="L188" t="s">
        <v>1</v>
      </c>
      <c r="M188" t="s">
        <v>209</v>
      </c>
    </row>
    <row r="189" spans="1:13" x14ac:dyDescent="0.25">
      <c r="A189" s="9">
        <v>45845</v>
      </c>
      <c r="B189">
        <v>2025</v>
      </c>
      <c r="C189" t="s">
        <v>5</v>
      </c>
      <c r="D189">
        <v>4647</v>
      </c>
      <c r="E189">
        <v>39</v>
      </c>
      <c r="F189">
        <v>7</v>
      </c>
      <c r="G189">
        <v>73</v>
      </c>
      <c r="H189" s="10">
        <v>1549.04</v>
      </c>
      <c r="I189">
        <v>0</v>
      </c>
      <c r="J189" t="s">
        <v>3</v>
      </c>
      <c r="K189" t="s">
        <v>11</v>
      </c>
      <c r="L189" t="s">
        <v>7</v>
      </c>
      <c r="M189" t="s">
        <v>209</v>
      </c>
    </row>
    <row r="190" spans="1:13" x14ac:dyDescent="0.25">
      <c r="A190" s="9">
        <v>45846</v>
      </c>
      <c r="B190">
        <v>2025</v>
      </c>
      <c r="C190" t="s">
        <v>5</v>
      </c>
      <c r="D190">
        <v>962</v>
      </c>
      <c r="E190">
        <v>29</v>
      </c>
      <c r="F190">
        <v>-1</v>
      </c>
      <c r="G190">
        <v>58</v>
      </c>
      <c r="H190" s="10">
        <v>594.55999999999995</v>
      </c>
      <c r="I190">
        <v>0</v>
      </c>
      <c r="J190" t="s">
        <v>3</v>
      </c>
      <c r="K190" t="s">
        <v>18</v>
      </c>
      <c r="L190" t="s">
        <v>1</v>
      </c>
      <c r="M190" t="s">
        <v>209</v>
      </c>
    </row>
    <row r="191" spans="1:13" x14ac:dyDescent="0.25">
      <c r="A191" s="9">
        <v>45847</v>
      </c>
      <c r="B191">
        <v>2025</v>
      </c>
      <c r="C191" t="s">
        <v>5</v>
      </c>
      <c r="D191">
        <v>795</v>
      </c>
      <c r="E191">
        <v>43</v>
      </c>
      <c r="F191">
        <v>15</v>
      </c>
      <c r="G191">
        <v>217</v>
      </c>
      <c r="H191" s="10">
        <v>2288.5700000000002</v>
      </c>
      <c r="I191">
        <v>0</v>
      </c>
      <c r="J191" t="s">
        <v>3</v>
      </c>
      <c r="K191" t="s">
        <v>18</v>
      </c>
      <c r="L191" t="s">
        <v>1</v>
      </c>
      <c r="M191" t="s">
        <v>209</v>
      </c>
    </row>
    <row r="192" spans="1:13" x14ac:dyDescent="0.25">
      <c r="A192" s="9">
        <v>45848</v>
      </c>
      <c r="B192">
        <v>2025</v>
      </c>
      <c r="C192" t="s">
        <v>5</v>
      </c>
      <c r="D192">
        <v>1211</v>
      </c>
      <c r="E192">
        <v>32</v>
      </c>
      <c r="F192">
        <v>18</v>
      </c>
      <c r="G192">
        <v>382</v>
      </c>
      <c r="H192" s="10">
        <v>653.09</v>
      </c>
      <c r="I192">
        <v>0</v>
      </c>
      <c r="J192" t="s">
        <v>3</v>
      </c>
      <c r="K192" t="s">
        <v>18</v>
      </c>
      <c r="L192" t="s">
        <v>10</v>
      </c>
      <c r="M192" t="s">
        <v>209</v>
      </c>
    </row>
    <row r="193" spans="1:13" x14ac:dyDescent="0.25">
      <c r="A193" s="9">
        <v>45849</v>
      </c>
      <c r="B193">
        <v>2025</v>
      </c>
      <c r="C193" t="s">
        <v>5</v>
      </c>
      <c r="D193">
        <v>4796</v>
      </c>
      <c r="E193">
        <v>4</v>
      </c>
      <c r="F193">
        <v>49</v>
      </c>
      <c r="G193">
        <v>222</v>
      </c>
      <c r="H193" s="10">
        <v>1543.05</v>
      </c>
      <c r="I193">
        <v>55</v>
      </c>
      <c r="J193" t="s">
        <v>13</v>
      </c>
      <c r="K193" t="s">
        <v>2</v>
      </c>
      <c r="L193" t="s">
        <v>7</v>
      </c>
      <c r="M193" t="s">
        <v>209</v>
      </c>
    </row>
    <row r="194" spans="1:13" x14ac:dyDescent="0.25">
      <c r="A194" s="9">
        <v>45850</v>
      </c>
      <c r="B194">
        <v>2025</v>
      </c>
      <c r="C194" t="s">
        <v>5</v>
      </c>
      <c r="D194">
        <v>2675</v>
      </c>
      <c r="E194">
        <v>34</v>
      </c>
      <c r="F194">
        <v>18</v>
      </c>
      <c r="G194">
        <v>374</v>
      </c>
      <c r="H194" s="10">
        <v>1992.62</v>
      </c>
      <c r="I194">
        <v>0</v>
      </c>
      <c r="J194" t="s">
        <v>3</v>
      </c>
      <c r="K194" t="s">
        <v>18</v>
      </c>
      <c r="L194" t="s">
        <v>1</v>
      </c>
      <c r="M194" t="s">
        <v>209</v>
      </c>
    </row>
    <row r="195" spans="1:13" x14ac:dyDescent="0.25">
      <c r="A195" s="9">
        <v>45851</v>
      </c>
      <c r="B195">
        <v>2025</v>
      </c>
      <c r="C195" t="s">
        <v>5</v>
      </c>
      <c r="D195">
        <v>3534</v>
      </c>
      <c r="E195">
        <v>44</v>
      </c>
      <c r="F195">
        <v>31</v>
      </c>
      <c r="G195">
        <v>194</v>
      </c>
      <c r="H195" s="10">
        <v>2368.87</v>
      </c>
      <c r="I195">
        <v>0</v>
      </c>
      <c r="J195" t="s">
        <v>3</v>
      </c>
      <c r="K195" t="s">
        <v>11</v>
      </c>
      <c r="L195" t="s">
        <v>1</v>
      </c>
      <c r="M195" t="s">
        <v>209</v>
      </c>
    </row>
    <row r="196" spans="1:13" x14ac:dyDescent="0.25">
      <c r="A196" s="9">
        <v>45852</v>
      </c>
      <c r="B196">
        <v>2025</v>
      </c>
      <c r="C196" t="s">
        <v>5</v>
      </c>
      <c r="D196">
        <v>4942</v>
      </c>
      <c r="E196">
        <v>31</v>
      </c>
      <c r="F196">
        <v>24</v>
      </c>
      <c r="G196">
        <v>232</v>
      </c>
      <c r="H196" s="10">
        <v>2298.52</v>
      </c>
      <c r="I196">
        <v>0</v>
      </c>
      <c r="J196" t="s">
        <v>13</v>
      </c>
      <c r="K196" t="s">
        <v>18</v>
      </c>
      <c r="L196" t="s">
        <v>7</v>
      </c>
      <c r="M196" t="s">
        <v>209</v>
      </c>
    </row>
    <row r="197" spans="1:13" x14ac:dyDescent="0.25">
      <c r="A197" s="9">
        <v>45853</v>
      </c>
      <c r="B197">
        <v>2025</v>
      </c>
      <c r="C197" t="s">
        <v>5</v>
      </c>
      <c r="D197">
        <v>1575</v>
      </c>
      <c r="E197">
        <v>20</v>
      </c>
      <c r="F197">
        <v>37</v>
      </c>
      <c r="G197">
        <v>71</v>
      </c>
      <c r="H197" s="10">
        <v>762.58</v>
      </c>
      <c r="I197">
        <v>0</v>
      </c>
      <c r="J197" t="s">
        <v>13</v>
      </c>
      <c r="K197" t="s">
        <v>18</v>
      </c>
      <c r="L197" t="s">
        <v>1</v>
      </c>
      <c r="M197" t="s">
        <v>209</v>
      </c>
    </row>
    <row r="198" spans="1:13" x14ac:dyDescent="0.25">
      <c r="A198" s="9">
        <v>45854</v>
      </c>
      <c r="B198">
        <v>2025</v>
      </c>
      <c r="C198" t="s">
        <v>5</v>
      </c>
      <c r="D198">
        <v>4287</v>
      </c>
      <c r="E198">
        <v>40</v>
      </c>
      <c r="F198">
        <v>0</v>
      </c>
      <c r="G198">
        <v>60</v>
      </c>
      <c r="H198" s="10">
        <v>1078.19</v>
      </c>
      <c r="I198">
        <v>0</v>
      </c>
      <c r="J198" t="s">
        <v>13</v>
      </c>
      <c r="K198" t="s">
        <v>11</v>
      </c>
      <c r="L198" t="s">
        <v>10</v>
      </c>
      <c r="M198" t="s">
        <v>209</v>
      </c>
    </row>
    <row r="199" spans="1:13" x14ac:dyDescent="0.25">
      <c r="A199" s="9">
        <v>45855</v>
      </c>
      <c r="B199">
        <v>2025</v>
      </c>
      <c r="C199" t="s">
        <v>5</v>
      </c>
      <c r="D199">
        <v>2614</v>
      </c>
      <c r="E199">
        <v>34</v>
      </c>
      <c r="F199">
        <v>35</v>
      </c>
      <c r="G199">
        <v>89</v>
      </c>
      <c r="H199" s="10">
        <v>1111.24</v>
      </c>
      <c r="I199">
        <v>0</v>
      </c>
      <c r="J199" t="s">
        <v>3</v>
      </c>
      <c r="K199" t="s">
        <v>2</v>
      </c>
      <c r="L199" t="s">
        <v>10</v>
      </c>
      <c r="M199" t="s">
        <v>209</v>
      </c>
    </row>
    <row r="200" spans="1:13" x14ac:dyDescent="0.25">
      <c r="A200" s="9">
        <v>45856</v>
      </c>
      <c r="B200">
        <v>2025</v>
      </c>
      <c r="C200" t="s">
        <v>5</v>
      </c>
      <c r="D200">
        <v>2828</v>
      </c>
      <c r="E200">
        <v>33</v>
      </c>
      <c r="F200">
        <v>2</v>
      </c>
      <c r="G200">
        <v>395</v>
      </c>
      <c r="H200" s="10">
        <v>353.89</v>
      </c>
      <c r="I200">
        <v>0</v>
      </c>
      <c r="J200" t="s">
        <v>13</v>
      </c>
      <c r="K200" t="s">
        <v>18</v>
      </c>
      <c r="L200" t="s">
        <v>10</v>
      </c>
      <c r="M200" t="s">
        <v>209</v>
      </c>
    </row>
    <row r="201" spans="1:13" x14ac:dyDescent="0.25">
      <c r="A201" s="9">
        <v>45857</v>
      </c>
      <c r="B201">
        <v>2025</v>
      </c>
      <c r="C201" t="s">
        <v>5</v>
      </c>
      <c r="D201">
        <v>2257</v>
      </c>
      <c r="E201">
        <v>13</v>
      </c>
      <c r="F201">
        <v>29</v>
      </c>
      <c r="G201">
        <v>371</v>
      </c>
      <c r="H201" s="10">
        <v>689.53</v>
      </c>
      <c r="I201">
        <v>0</v>
      </c>
      <c r="J201" t="s">
        <v>3</v>
      </c>
      <c r="K201" t="s">
        <v>18</v>
      </c>
      <c r="L201" t="s">
        <v>1</v>
      </c>
      <c r="M201" t="s">
        <v>209</v>
      </c>
    </row>
    <row r="202" spans="1:13" x14ac:dyDescent="0.25">
      <c r="A202" s="9">
        <v>45858</v>
      </c>
      <c r="B202">
        <v>2025</v>
      </c>
      <c r="C202" t="s">
        <v>5</v>
      </c>
      <c r="D202">
        <v>995</v>
      </c>
      <c r="E202">
        <v>20</v>
      </c>
      <c r="F202">
        <v>28</v>
      </c>
      <c r="G202">
        <v>65</v>
      </c>
      <c r="H202" s="10">
        <v>2007.41</v>
      </c>
      <c r="I202">
        <v>0</v>
      </c>
      <c r="J202" t="s">
        <v>13</v>
      </c>
      <c r="K202" t="s">
        <v>18</v>
      </c>
      <c r="L202" t="s">
        <v>10</v>
      </c>
      <c r="M202" t="s">
        <v>162</v>
      </c>
    </row>
    <row r="203" spans="1:13" x14ac:dyDescent="0.25">
      <c r="A203" s="9">
        <v>45859</v>
      </c>
      <c r="B203">
        <v>2025</v>
      </c>
      <c r="C203" t="s">
        <v>5</v>
      </c>
      <c r="D203">
        <v>2681</v>
      </c>
      <c r="E203">
        <v>19</v>
      </c>
      <c r="F203">
        <v>46</v>
      </c>
      <c r="G203">
        <v>214</v>
      </c>
      <c r="H203" s="10">
        <v>2004.27</v>
      </c>
      <c r="I203">
        <v>0</v>
      </c>
      <c r="J203" t="s">
        <v>13</v>
      </c>
      <c r="K203" t="s">
        <v>11</v>
      </c>
      <c r="L203" t="s">
        <v>17</v>
      </c>
      <c r="M203" t="s">
        <v>162</v>
      </c>
    </row>
    <row r="204" spans="1:13" x14ac:dyDescent="0.25">
      <c r="A204" s="9">
        <v>45860</v>
      </c>
      <c r="B204">
        <v>2025</v>
      </c>
      <c r="C204" t="s">
        <v>5</v>
      </c>
      <c r="D204">
        <v>2434</v>
      </c>
      <c r="E204">
        <v>16</v>
      </c>
      <c r="F204">
        <v>40</v>
      </c>
      <c r="G204">
        <v>307</v>
      </c>
      <c r="H204" s="10">
        <v>324.2</v>
      </c>
      <c r="I204">
        <v>0</v>
      </c>
      <c r="J204" t="s">
        <v>13</v>
      </c>
      <c r="K204" t="s">
        <v>18</v>
      </c>
      <c r="L204" t="s">
        <v>10</v>
      </c>
      <c r="M204" t="s">
        <v>162</v>
      </c>
    </row>
    <row r="205" spans="1:13" x14ac:dyDescent="0.25">
      <c r="A205" s="9">
        <v>45861</v>
      </c>
      <c r="B205">
        <v>2025</v>
      </c>
      <c r="C205" t="s">
        <v>5</v>
      </c>
      <c r="D205">
        <v>1171</v>
      </c>
      <c r="E205">
        <v>44</v>
      </c>
      <c r="F205">
        <v>5</v>
      </c>
      <c r="G205">
        <v>77</v>
      </c>
      <c r="H205" s="10">
        <v>1535.02</v>
      </c>
      <c r="I205">
        <v>55</v>
      </c>
      <c r="J205" t="s">
        <v>13</v>
      </c>
      <c r="K205" t="s">
        <v>18</v>
      </c>
      <c r="L205" t="s">
        <v>17</v>
      </c>
      <c r="M205" t="s">
        <v>162</v>
      </c>
    </row>
    <row r="206" spans="1:13" x14ac:dyDescent="0.25">
      <c r="A206" s="9">
        <v>45862</v>
      </c>
      <c r="B206">
        <v>2025</v>
      </c>
      <c r="C206" t="s">
        <v>5</v>
      </c>
      <c r="D206">
        <v>2404</v>
      </c>
      <c r="E206">
        <v>6</v>
      </c>
      <c r="F206">
        <v>2</v>
      </c>
      <c r="G206">
        <v>278</v>
      </c>
      <c r="H206" s="10">
        <v>332.53</v>
      </c>
      <c r="I206">
        <v>55</v>
      </c>
      <c r="J206" t="s">
        <v>13</v>
      </c>
      <c r="K206" t="s">
        <v>8</v>
      </c>
      <c r="L206" t="s">
        <v>7</v>
      </c>
      <c r="M206" t="s">
        <v>162</v>
      </c>
    </row>
    <row r="207" spans="1:13" x14ac:dyDescent="0.25">
      <c r="A207" s="9">
        <v>45863</v>
      </c>
      <c r="B207">
        <v>2025</v>
      </c>
      <c r="C207" t="s">
        <v>5</v>
      </c>
      <c r="D207">
        <v>2748</v>
      </c>
      <c r="E207">
        <v>40</v>
      </c>
      <c r="F207">
        <v>43</v>
      </c>
      <c r="G207">
        <v>265</v>
      </c>
      <c r="H207" s="10">
        <v>1000.74</v>
      </c>
      <c r="I207">
        <v>0</v>
      </c>
      <c r="J207" t="s">
        <v>3</v>
      </c>
      <c r="K207" t="s">
        <v>11</v>
      </c>
      <c r="L207" t="s">
        <v>17</v>
      </c>
      <c r="M207" t="s">
        <v>162</v>
      </c>
    </row>
    <row r="208" spans="1:13" x14ac:dyDescent="0.25">
      <c r="A208" s="9">
        <v>45864</v>
      </c>
      <c r="B208">
        <v>2025</v>
      </c>
      <c r="C208" t="s">
        <v>5</v>
      </c>
      <c r="D208">
        <v>1056</v>
      </c>
      <c r="E208">
        <v>20</v>
      </c>
      <c r="F208">
        <v>28</v>
      </c>
      <c r="G208">
        <v>53</v>
      </c>
      <c r="H208" s="10">
        <v>883.01</v>
      </c>
      <c r="I208">
        <v>0</v>
      </c>
      <c r="J208" t="s">
        <v>13</v>
      </c>
      <c r="K208" t="s">
        <v>18</v>
      </c>
      <c r="L208" t="s">
        <v>10</v>
      </c>
      <c r="M208" t="s">
        <v>162</v>
      </c>
    </row>
    <row r="209" spans="1:13" x14ac:dyDescent="0.25">
      <c r="A209" s="9">
        <v>45865</v>
      </c>
      <c r="B209">
        <v>2025</v>
      </c>
      <c r="C209" t="s">
        <v>5</v>
      </c>
      <c r="D209">
        <v>4965</v>
      </c>
      <c r="E209">
        <v>9</v>
      </c>
      <c r="F209">
        <v>4</v>
      </c>
      <c r="G209">
        <v>382</v>
      </c>
      <c r="H209" s="10">
        <v>2465.5</v>
      </c>
      <c r="I209">
        <v>0</v>
      </c>
      <c r="J209" t="s">
        <v>13</v>
      </c>
      <c r="K209" t="s">
        <v>18</v>
      </c>
      <c r="L209" t="s">
        <v>15</v>
      </c>
      <c r="M209" t="s">
        <v>162</v>
      </c>
    </row>
    <row r="210" spans="1:13" x14ac:dyDescent="0.25">
      <c r="A210" s="9">
        <v>45866</v>
      </c>
      <c r="B210">
        <v>2025</v>
      </c>
      <c r="C210" t="s">
        <v>5</v>
      </c>
      <c r="D210">
        <v>2784</v>
      </c>
      <c r="E210">
        <v>27</v>
      </c>
      <c r="F210">
        <v>11</v>
      </c>
      <c r="G210">
        <v>82</v>
      </c>
      <c r="H210" s="10">
        <v>549.61</v>
      </c>
      <c r="I210">
        <v>0</v>
      </c>
      <c r="J210" t="s">
        <v>13</v>
      </c>
      <c r="K210" t="s">
        <v>18</v>
      </c>
      <c r="L210" t="s">
        <v>1</v>
      </c>
      <c r="M210" t="s">
        <v>162</v>
      </c>
    </row>
    <row r="211" spans="1:13" x14ac:dyDescent="0.25">
      <c r="A211" s="9">
        <v>45867</v>
      </c>
      <c r="B211">
        <v>2025</v>
      </c>
      <c r="C211" t="s">
        <v>5</v>
      </c>
      <c r="D211">
        <v>2504</v>
      </c>
      <c r="E211">
        <v>24</v>
      </c>
      <c r="F211">
        <v>11</v>
      </c>
      <c r="G211">
        <v>259</v>
      </c>
      <c r="H211" s="10">
        <v>1594.89</v>
      </c>
      <c r="I211">
        <v>0</v>
      </c>
      <c r="J211" t="s">
        <v>13</v>
      </c>
      <c r="K211" t="s">
        <v>2</v>
      </c>
      <c r="L211" t="s">
        <v>21</v>
      </c>
      <c r="M211" t="s">
        <v>162</v>
      </c>
    </row>
    <row r="212" spans="1:13" x14ac:dyDescent="0.25">
      <c r="A212" s="9">
        <v>45868</v>
      </c>
      <c r="B212">
        <v>2025</v>
      </c>
      <c r="C212" t="s">
        <v>5</v>
      </c>
      <c r="D212">
        <v>4558</v>
      </c>
      <c r="E212">
        <v>6</v>
      </c>
      <c r="F212">
        <v>48</v>
      </c>
      <c r="G212">
        <v>322</v>
      </c>
      <c r="H212" s="10">
        <v>2370.3200000000002</v>
      </c>
      <c r="I212">
        <v>0</v>
      </c>
      <c r="J212" t="s">
        <v>13</v>
      </c>
      <c r="K212" t="s">
        <v>11</v>
      </c>
      <c r="L212" t="s">
        <v>10</v>
      </c>
      <c r="M212" t="s">
        <v>162</v>
      </c>
    </row>
    <row r="213" spans="1:13" x14ac:dyDescent="0.25">
      <c r="A213" s="9">
        <v>45869</v>
      </c>
      <c r="B213">
        <v>2025</v>
      </c>
      <c r="C213" t="s">
        <v>5</v>
      </c>
      <c r="D213">
        <v>3574</v>
      </c>
      <c r="E213">
        <v>38</v>
      </c>
      <c r="F213">
        <v>1</v>
      </c>
      <c r="G213">
        <v>96</v>
      </c>
      <c r="H213" s="10">
        <v>2224.75</v>
      </c>
      <c r="I213">
        <v>0</v>
      </c>
      <c r="J213" t="s">
        <v>3</v>
      </c>
      <c r="K213" t="s">
        <v>11</v>
      </c>
      <c r="L213" t="s">
        <v>10</v>
      </c>
      <c r="M213" t="s">
        <v>162</v>
      </c>
    </row>
    <row r="214" spans="1:13" x14ac:dyDescent="0.25">
      <c r="A214" s="9">
        <v>45870</v>
      </c>
      <c r="B214">
        <v>2025</v>
      </c>
      <c r="C214" t="s">
        <v>165</v>
      </c>
      <c r="D214">
        <v>1317</v>
      </c>
      <c r="E214">
        <v>29</v>
      </c>
      <c r="F214">
        <v>6</v>
      </c>
      <c r="G214">
        <v>35</v>
      </c>
      <c r="H214" s="10">
        <v>990.5</v>
      </c>
      <c r="I214">
        <v>0</v>
      </c>
      <c r="J214" t="s">
        <v>13</v>
      </c>
      <c r="K214" t="s">
        <v>18</v>
      </c>
      <c r="L214" t="s">
        <v>1</v>
      </c>
      <c r="M214" t="s">
        <v>162</v>
      </c>
    </row>
    <row r="215" spans="1:13" x14ac:dyDescent="0.25">
      <c r="A215" s="9">
        <v>45871</v>
      </c>
      <c r="B215">
        <v>2025</v>
      </c>
      <c r="C215" t="s">
        <v>165</v>
      </c>
      <c r="D215">
        <v>4297</v>
      </c>
      <c r="E215">
        <v>41</v>
      </c>
      <c r="F215">
        <v>39</v>
      </c>
      <c r="G215">
        <v>33</v>
      </c>
      <c r="H215" s="10">
        <v>991.13</v>
      </c>
      <c r="I215">
        <v>0</v>
      </c>
      <c r="J215" t="s">
        <v>3</v>
      </c>
      <c r="K215" t="s">
        <v>18</v>
      </c>
      <c r="L215" t="s">
        <v>21</v>
      </c>
      <c r="M215" t="s">
        <v>162</v>
      </c>
    </row>
    <row r="216" spans="1:13" x14ac:dyDescent="0.25">
      <c r="A216" s="9">
        <v>45872</v>
      </c>
      <c r="B216">
        <v>2025</v>
      </c>
      <c r="C216" t="s">
        <v>165</v>
      </c>
      <c r="D216">
        <v>3183</v>
      </c>
      <c r="E216">
        <v>33</v>
      </c>
      <c r="F216">
        <v>17</v>
      </c>
      <c r="G216">
        <v>61</v>
      </c>
      <c r="H216" s="10">
        <v>1421.68</v>
      </c>
      <c r="I216">
        <v>0</v>
      </c>
      <c r="J216" t="s">
        <v>13</v>
      </c>
      <c r="K216" t="s">
        <v>18</v>
      </c>
      <c r="L216" t="s">
        <v>7</v>
      </c>
      <c r="M216" t="s">
        <v>162</v>
      </c>
    </row>
    <row r="217" spans="1:13" x14ac:dyDescent="0.25">
      <c r="A217" s="9">
        <v>45873</v>
      </c>
      <c r="B217">
        <v>2025</v>
      </c>
      <c r="C217" t="s">
        <v>165</v>
      </c>
      <c r="D217">
        <v>1944</v>
      </c>
      <c r="E217">
        <v>9</v>
      </c>
      <c r="F217">
        <v>15</v>
      </c>
      <c r="G217">
        <v>75</v>
      </c>
      <c r="H217" s="10">
        <v>554.15</v>
      </c>
      <c r="I217">
        <v>0</v>
      </c>
      <c r="J217" t="s">
        <v>3</v>
      </c>
      <c r="K217" t="s">
        <v>18</v>
      </c>
      <c r="L217" t="s">
        <v>7</v>
      </c>
      <c r="M217" t="s">
        <v>162</v>
      </c>
    </row>
    <row r="218" spans="1:13" x14ac:dyDescent="0.25">
      <c r="A218" s="9">
        <v>45874</v>
      </c>
      <c r="B218">
        <v>2025</v>
      </c>
      <c r="C218" t="s">
        <v>165</v>
      </c>
      <c r="D218">
        <v>529</v>
      </c>
      <c r="E218">
        <v>33</v>
      </c>
      <c r="F218">
        <v>39</v>
      </c>
      <c r="G218">
        <v>21</v>
      </c>
      <c r="H218" s="10">
        <v>798.55</v>
      </c>
      <c r="I218">
        <v>0</v>
      </c>
      <c r="J218" t="s">
        <v>13</v>
      </c>
      <c r="K218" t="s">
        <v>8</v>
      </c>
      <c r="L218" t="s">
        <v>15</v>
      </c>
      <c r="M218" t="s">
        <v>162</v>
      </c>
    </row>
    <row r="219" spans="1:13" x14ac:dyDescent="0.25">
      <c r="A219" s="9">
        <v>45875</v>
      </c>
      <c r="B219">
        <v>2025</v>
      </c>
      <c r="C219" t="s">
        <v>165</v>
      </c>
      <c r="D219">
        <v>4122</v>
      </c>
      <c r="E219">
        <v>13</v>
      </c>
      <c r="F219">
        <v>14</v>
      </c>
      <c r="G219">
        <v>277</v>
      </c>
      <c r="H219" s="10">
        <v>1033.19</v>
      </c>
      <c r="I219">
        <v>0</v>
      </c>
      <c r="J219" t="s">
        <v>13</v>
      </c>
      <c r="K219" t="s">
        <v>2</v>
      </c>
      <c r="L219" t="s">
        <v>1</v>
      </c>
      <c r="M219" t="s">
        <v>162</v>
      </c>
    </row>
    <row r="220" spans="1:13" x14ac:dyDescent="0.25">
      <c r="A220" s="9">
        <v>45876</v>
      </c>
      <c r="B220">
        <v>2025</v>
      </c>
      <c r="C220" t="s">
        <v>165</v>
      </c>
      <c r="D220">
        <v>4094</v>
      </c>
      <c r="E220">
        <v>3</v>
      </c>
      <c r="F220">
        <v>42</v>
      </c>
      <c r="G220">
        <v>261</v>
      </c>
      <c r="H220" s="10">
        <v>1492.19</v>
      </c>
      <c r="I220">
        <v>0</v>
      </c>
      <c r="J220" t="s">
        <v>13</v>
      </c>
      <c r="K220" t="s">
        <v>11</v>
      </c>
      <c r="L220" t="s">
        <v>17</v>
      </c>
      <c r="M220" t="s">
        <v>162</v>
      </c>
    </row>
    <row r="221" spans="1:13" x14ac:dyDescent="0.25">
      <c r="A221" s="9">
        <v>45877</v>
      </c>
      <c r="B221">
        <v>2025</v>
      </c>
      <c r="C221" t="s">
        <v>165</v>
      </c>
      <c r="D221">
        <v>4297</v>
      </c>
      <c r="E221">
        <v>30</v>
      </c>
      <c r="F221">
        <v>24</v>
      </c>
      <c r="G221">
        <v>42</v>
      </c>
      <c r="H221" s="10">
        <v>2464.4499999999998</v>
      </c>
      <c r="I221">
        <v>0</v>
      </c>
      <c r="J221" t="s">
        <v>13</v>
      </c>
      <c r="K221" t="s">
        <v>18</v>
      </c>
      <c r="L221" t="s">
        <v>1</v>
      </c>
      <c r="M221" t="s">
        <v>162</v>
      </c>
    </row>
    <row r="222" spans="1:13" x14ac:dyDescent="0.25">
      <c r="A222" s="9">
        <v>45878</v>
      </c>
      <c r="B222">
        <v>2025</v>
      </c>
      <c r="C222" t="s">
        <v>165</v>
      </c>
      <c r="D222">
        <v>624</v>
      </c>
      <c r="E222">
        <v>27</v>
      </c>
      <c r="F222">
        <v>40</v>
      </c>
      <c r="G222">
        <v>230</v>
      </c>
      <c r="H222" s="10">
        <v>1933.03</v>
      </c>
      <c r="I222">
        <v>0</v>
      </c>
      <c r="J222" t="s">
        <v>3</v>
      </c>
      <c r="K222" t="s">
        <v>11</v>
      </c>
      <c r="L222" t="s">
        <v>7</v>
      </c>
      <c r="M222" t="s">
        <v>162</v>
      </c>
    </row>
    <row r="223" spans="1:13" x14ac:dyDescent="0.25">
      <c r="A223" s="9">
        <v>45879</v>
      </c>
      <c r="B223">
        <v>2025</v>
      </c>
      <c r="C223" t="s">
        <v>165</v>
      </c>
      <c r="D223">
        <v>4592</v>
      </c>
      <c r="E223">
        <v>7</v>
      </c>
      <c r="F223">
        <v>18</v>
      </c>
      <c r="G223">
        <v>267</v>
      </c>
      <c r="H223" s="10">
        <v>1345.72</v>
      </c>
      <c r="I223">
        <v>0</v>
      </c>
      <c r="J223" t="s">
        <v>13</v>
      </c>
      <c r="K223" t="s">
        <v>18</v>
      </c>
      <c r="L223" t="s">
        <v>7</v>
      </c>
      <c r="M223" t="s">
        <v>162</v>
      </c>
    </row>
    <row r="224" spans="1:13" x14ac:dyDescent="0.25">
      <c r="A224" s="9">
        <v>45880</v>
      </c>
      <c r="B224">
        <v>2025</v>
      </c>
      <c r="C224" t="s">
        <v>165</v>
      </c>
      <c r="D224">
        <v>2873</v>
      </c>
      <c r="E224">
        <v>21</v>
      </c>
      <c r="F224">
        <v>42</v>
      </c>
      <c r="G224">
        <v>388</v>
      </c>
      <c r="H224" s="10">
        <v>861.37</v>
      </c>
      <c r="I224">
        <v>0</v>
      </c>
      <c r="J224" t="s">
        <v>13</v>
      </c>
      <c r="K224" t="s">
        <v>11</v>
      </c>
      <c r="L224" t="s">
        <v>10</v>
      </c>
      <c r="M224" t="s">
        <v>162</v>
      </c>
    </row>
    <row r="225" spans="1:13" x14ac:dyDescent="0.25">
      <c r="A225" s="9">
        <v>45881</v>
      </c>
      <c r="B225">
        <v>2025</v>
      </c>
      <c r="C225" t="s">
        <v>165</v>
      </c>
      <c r="D225">
        <v>2186</v>
      </c>
      <c r="E225">
        <v>3</v>
      </c>
      <c r="F225">
        <v>42</v>
      </c>
      <c r="G225">
        <v>346</v>
      </c>
      <c r="H225" s="10">
        <v>1092.08</v>
      </c>
      <c r="I225">
        <v>55</v>
      </c>
      <c r="J225" t="s">
        <v>3</v>
      </c>
      <c r="K225" t="s">
        <v>8</v>
      </c>
      <c r="L225" t="s">
        <v>21</v>
      </c>
      <c r="M225" t="s">
        <v>162</v>
      </c>
    </row>
    <row r="226" spans="1:13" x14ac:dyDescent="0.25">
      <c r="A226" s="9">
        <v>45882</v>
      </c>
      <c r="B226">
        <v>2025</v>
      </c>
      <c r="C226" t="s">
        <v>165</v>
      </c>
      <c r="D226">
        <v>2154</v>
      </c>
      <c r="E226">
        <v>9</v>
      </c>
      <c r="F226">
        <v>8</v>
      </c>
      <c r="G226">
        <v>295</v>
      </c>
      <c r="H226" s="10">
        <v>1684.46</v>
      </c>
      <c r="I226">
        <v>0</v>
      </c>
      <c r="J226" t="s">
        <v>3</v>
      </c>
      <c r="K226" t="s">
        <v>18</v>
      </c>
      <c r="L226" t="s">
        <v>10</v>
      </c>
      <c r="M226" t="s">
        <v>162</v>
      </c>
    </row>
    <row r="227" spans="1:13" x14ac:dyDescent="0.25">
      <c r="A227" s="9">
        <v>45883</v>
      </c>
      <c r="B227">
        <v>2025</v>
      </c>
      <c r="C227" t="s">
        <v>165</v>
      </c>
      <c r="D227">
        <v>2487</v>
      </c>
      <c r="E227">
        <v>21</v>
      </c>
      <c r="F227">
        <v>15</v>
      </c>
      <c r="G227">
        <v>204</v>
      </c>
      <c r="H227" s="10">
        <v>1947.52</v>
      </c>
      <c r="I227">
        <v>0</v>
      </c>
      <c r="J227" t="s">
        <v>13</v>
      </c>
      <c r="K227" t="s">
        <v>18</v>
      </c>
      <c r="L227" t="s">
        <v>15</v>
      </c>
      <c r="M227" t="s">
        <v>162</v>
      </c>
    </row>
    <row r="228" spans="1:13" x14ac:dyDescent="0.25">
      <c r="A228" s="9">
        <v>45884</v>
      </c>
      <c r="B228">
        <v>2025</v>
      </c>
      <c r="C228" t="s">
        <v>165</v>
      </c>
      <c r="D228">
        <v>2652</v>
      </c>
      <c r="E228">
        <v>9</v>
      </c>
      <c r="F228">
        <v>39</v>
      </c>
      <c r="G228">
        <v>407</v>
      </c>
      <c r="H228" s="10">
        <v>1823.09</v>
      </c>
      <c r="I228">
        <v>0</v>
      </c>
      <c r="J228" t="s">
        <v>3</v>
      </c>
      <c r="K228" t="s">
        <v>11</v>
      </c>
      <c r="L228" t="s">
        <v>10</v>
      </c>
      <c r="M228" t="s">
        <v>162</v>
      </c>
    </row>
    <row r="229" spans="1:13" x14ac:dyDescent="0.25">
      <c r="A229" s="9">
        <v>45885</v>
      </c>
      <c r="B229">
        <v>2025</v>
      </c>
      <c r="C229" t="s">
        <v>165</v>
      </c>
      <c r="D229">
        <v>2058</v>
      </c>
      <c r="E229">
        <v>44</v>
      </c>
      <c r="F229">
        <v>24</v>
      </c>
      <c r="G229">
        <v>144</v>
      </c>
      <c r="H229" s="10">
        <v>1520.75</v>
      </c>
      <c r="I229">
        <v>0</v>
      </c>
      <c r="J229" t="s">
        <v>3</v>
      </c>
      <c r="K229" t="s">
        <v>11</v>
      </c>
      <c r="L229" t="s">
        <v>1</v>
      </c>
      <c r="M229" t="s">
        <v>162</v>
      </c>
    </row>
    <row r="230" spans="1:13" x14ac:dyDescent="0.25">
      <c r="A230" s="9">
        <v>45886</v>
      </c>
      <c r="B230">
        <v>2025</v>
      </c>
      <c r="C230" t="s">
        <v>165</v>
      </c>
      <c r="D230">
        <v>3553</v>
      </c>
      <c r="E230">
        <v>10</v>
      </c>
      <c r="F230">
        <v>19</v>
      </c>
      <c r="G230">
        <v>279</v>
      </c>
      <c r="H230" s="10">
        <v>1658.77</v>
      </c>
      <c r="I230">
        <v>0</v>
      </c>
      <c r="J230" t="s">
        <v>3</v>
      </c>
      <c r="K230" t="s">
        <v>18</v>
      </c>
      <c r="L230" t="s">
        <v>1</v>
      </c>
      <c r="M230" t="s">
        <v>162</v>
      </c>
    </row>
    <row r="231" spans="1:13" x14ac:dyDescent="0.25">
      <c r="A231" s="9">
        <v>45887</v>
      </c>
      <c r="B231">
        <v>2025</v>
      </c>
      <c r="C231" t="s">
        <v>165</v>
      </c>
      <c r="D231">
        <v>1129</v>
      </c>
      <c r="E231">
        <v>8</v>
      </c>
      <c r="F231">
        <v>41</v>
      </c>
      <c r="G231">
        <v>231</v>
      </c>
      <c r="H231" s="10">
        <v>1676.51</v>
      </c>
      <c r="I231">
        <v>0</v>
      </c>
      <c r="J231" t="s">
        <v>3</v>
      </c>
      <c r="K231" t="s">
        <v>18</v>
      </c>
      <c r="L231" t="s">
        <v>7</v>
      </c>
      <c r="M231" t="s">
        <v>162</v>
      </c>
    </row>
    <row r="232" spans="1:13" x14ac:dyDescent="0.25">
      <c r="A232" s="9">
        <v>45888</v>
      </c>
      <c r="B232">
        <v>2025</v>
      </c>
      <c r="C232" t="s">
        <v>165</v>
      </c>
      <c r="D232">
        <v>1172</v>
      </c>
      <c r="E232">
        <v>39</v>
      </c>
      <c r="F232">
        <v>22</v>
      </c>
      <c r="G232">
        <v>388</v>
      </c>
      <c r="H232" s="10">
        <v>490.71</v>
      </c>
      <c r="I232">
        <v>0</v>
      </c>
      <c r="J232" t="s">
        <v>13</v>
      </c>
      <c r="K232" t="s">
        <v>11</v>
      </c>
      <c r="L232" t="s">
        <v>10</v>
      </c>
      <c r="M232" t="s">
        <v>162</v>
      </c>
    </row>
    <row r="233" spans="1:13" x14ac:dyDescent="0.25">
      <c r="A233" s="9">
        <v>45889</v>
      </c>
      <c r="B233">
        <v>2025</v>
      </c>
      <c r="C233" t="s">
        <v>165</v>
      </c>
      <c r="D233">
        <v>920</v>
      </c>
      <c r="E233">
        <v>42</v>
      </c>
      <c r="F233">
        <v>11</v>
      </c>
      <c r="G233">
        <v>135</v>
      </c>
      <c r="H233" s="10">
        <v>692.58</v>
      </c>
      <c r="I233">
        <v>0</v>
      </c>
      <c r="J233" t="s">
        <v>13</v>
      </c>
      <c r="K233" t="s">
        <v>11</v>
      </c>
      <c r="L233" t="s">
        <v>10</v>
      </c>
      <c r="M233" t="s">
        <v>162</v>
      </c>
    </row>
    <row r="234" spans="1:13" x14ac:dyDescent="0.25">
      <c r="A234" s="9">
        <v>45890</v>
      </c>
      <c r="B234">
        <v>2025</v>
      </c>
      <c r="C234" t="s">
        <v>165</v>
      </c>
      <c r="D234">
        <v>2451</v>
      </c>
      <c r="E234">
        <v>25</v>
      </c>
      <c r="F234">
        <v>43</v>
      </c>
      <c r="G234">
        <v>171</v>
      </c>
      <c r="H234" s="10">
        <v>8</v>
      </c>
      <c r="I234">
        <v>0</v>
      </c>
      <c r="J234" t="s">
        <v>13</v>
      </c>
      <c r="K234" t="s">
        <v>18</v>
      </c>
      <c r="L234" t="s">
        <v>10</v>
      </c>
      <c r="M234" t="s">
        <v>162</v>
      </c>
    </row>
    <row r="235" spans="1:13" x14ac:dyDescent="0.25">
      <c r="A235" s="9">
        <v>45891</v>
      </c>
      <c r="B235">
        <v>2025</v>
      </c>
      <c r="C235" t="s">
        <v>165</v>
      </c>
      <c r="D235">
        <v>2803</v>
      </c>
      <c r="E235">
        <v>26</v>
      </c>
      <c r="F235">
        <v>25</v>
      </c>
      <c r="G235">
        <v>145</v>
      </c>
      <c r="H235" s="10">
        <v>1128.8</v>
      </c>
      <c r="I235">
        <v>0</v>
      </c>
      <c r="J235" t="s">
        <v>13</v>
      </c>
      <c r="K235" t="s">
        <v>11</v>
      </c>
      <c r="L235" t="s">
        <v>7</v>
      </c>
      <c r="M235" t="s">
        <v>162</v>
      </c>
    </row>
    <row r="236" spans="1:13" x14ac:dyDescent="0.25">
      <c r="A236" s="9">
        <v>45892</v>
      </c>
      <c r="B236">
        <v>2025</v>
      </c>
      <c r="C236" t="s">
        <v>165</v>
      </c>
      <c r="D236">
        <v>3450</v>
      </c>
      <c r="E236">
        <v>3</v>
      </c>
      <c r="F236">
        <v>-4</v>
      </c>
      <c r="G236">
        <v>314</v>
      </c>
      <c r="H236" s="10">
        <v>1128.75</v>
      </c>
      <c r="I236">
        <v>0</v>
      </c>
      <c r="J236" t="s">
        <v>3</v>
      </c>
      <c r="K236" t="s">
        <v>18</v>
      </c>
      <c r="L236" t="s">
        <v>15</v>
      </c>
      <c r="M236" t="s">
        <v>162</v>
      </c>
    </row>
    <row r="237" spans="1:13" x14ac:dyDescent="0.25">
      <c r="A237" s="9">
        <v>45893</v>
      </c>
      <c r="B237">
        <v>2025</v>
      </c>
      <c r="C237" t="s">
        <v>165</v>
      </c>
      <c r="D237">
        <v>2029</v>
      </c>
      <c r="E237">
        <v>37</v>
      </c>
      <c r="F237">
        <v>46</v>
      </c>
      <c r="G237">
        <v>390</v>
      </c>
      <c r="H237" s="10">
        <v>1213.3399999999999</v>
      </c>
      <c r="I237">
        <v>0</v>
      </c>
      <c r="J237" t="s">
        <v>13</v>
      </c>
      <c r="K237" t="s">
        <v>8</v>
      </c>
      <c r="L237" t="s">
        <v>7</v>
      </c>
      <c r="M237" t="s">
        <v>162</v>
      </c>
    </row>
    <row r="238" spans="1:13" x14ac:dyDescent="0.25">
      <c r="A238" s="9">
        <v>45894</v>
      </c>
      <c r="B238">
        <v>2025</v>
      </c>
      <c r="C238" t="s">
        <v>165</v>
      </c>
      <c r="D238">
        <v>4654</v>
      </c>
      <c r="E238">
        <v>27</v>
      </c>
      <c r="F238">
        <v>39</v>
      </c>
      <c r="G238">
        <v>360</v>
      </c>
      <c r="H238" s="10">
        <v>1773.79</v>
      </c>
      <c r="I238">
        <v>0</v>
      </c>
      <c r="J238" t="s">
        <v>3</v>
      </c>
      <c r="K238" t="s">
        <v>18</v>
      </c>
      <c r="L238" t="s">
        <v>7</v>
      </c>
      <c r="M238" t="s">
        <v>162</v>
      </c>
    </row>
    <row r="239" spans="1:13" x14ac:dyDescent="0.25">
      <c r="A239" s="9">
        <v>45895</v>
      </c>
      <c r="B239">
        <v>2025</v>
      </c>
      <c r="C239" t="s">
        <v>165</v>
      </c>
      <c r="D239">
        <v>1002</v>
      </c>
      <c r="E239">
        <v>42</v>
      </c>
      <c r="F239">
        <v>27</v>
      </c>
      <c r="G239">
        <v>386</v>
      </c>
      <c r="H239" s="10">
        <v>503.89</v>
      </c>
      <c r="I239">
        <v>0</v>
      </c>
      <c r="J239" t="s">
        <v>3</v>
      </c>
      <c r="K239" t="s">
        <v>18</v>
      </c>
      <c r="L239" t="s">
        <v>21</v>
      </c>
      <c r="M239" t="s">
        <v>162</v>
      </c>
    </row>
    <row r="240" spans="1:13" x14ac:dyDescent="0.25">
      <c r="A240" s="9">
        <v>45896</v>
      </c>
      <c r="B240">
        <v>2025</v>
      </c>
      <c r="C240" t="s">
        <v>165</v>
      </c>
      <c r="D240">
        <v>911</v>
      </c>
      <c r="E240">
        <v>7</v>
      </c>
      <c r="F240">
        <v>28</v>
      </c>
      <c r="G240">
        <v>268</v>
      </c>
      <c r="H240" s="10">
        <v>1909.05</v>
      </c>
      <c r="I240">
        <v>0</v>
      </c>
      <c r="J240" t="s">
        <v>13</v>
      </c>
      <c r="K240" t="s">
        <v>8</v>
      </c>
      <c r="L240" t="s">
        <v>7</v>
      </c>
      <c r="M240" t="s">
        <v>162</v>
      </c>
    </row>
    <row r="241" spans="1:13" x14ac:dyDescent="0.25">
      <c r="A241" s="9">
        <v>45897</v>
      </c>
      <c r="B241">
        <v>2025</v>
      </c>
      <c r="C241" t="s">
        <v>165</v>
      </c>
      <c r="D241">
        <v>4565</v>
      </c>
      <c r="E241">
        <v>7</v>
      </c>
      <c r="F241">
        <v>32</v>
      </c>
      <c r="G241">
        <v>443</v>
      </c>
      <c r="H241" s="10">
        <v>1882.39</v>
      </c>
      <c r="I241">
        <v>0</v>
      </c>
      <c r="J241" t="s">
        <v>3</v>
      </c>
      <c r="K241" t="s">
        <v>18</v>
      </c>
      <c r="L241" t="s">
        <v>10</v>
      </c>
      <c r="M241" t="s">
        <v>162</v>
      </c>
    </row>
    <row r="242" spans="1:13" x14ac:dyDescent="0.25">
      <c r="A242" s="9">
        <v>45898</v>
      </c>
      <c r="B242">
        <v>2025</v>
      </c>
      <c r="C242" t="s">
        <v>165</v>
      </c>
      <c r="D242">
        <v>2392</v>
      </c>
      <c r="E242">
        <v>10</v>
      </c>
      <c r="F242">
        <v>50</v>
      </c>
      <c r="G242">
        <v>223</v>
      </c>
      <c r="H242" s="10">
        <v>2131.1999999999998</v>
      </c>
      <c r="I242">
        <v>0</v>
      </c>
      <c r="J242" t="s">
        <v>3</v>
      </c>
      <c r="K242" t="s">
        <v>2</v>
      </c>
      <c r="L242" t="s">
        <v>7</v>
      </c>
      <c r="M242" t="s">
        <v>162</v>
      </c>
    </row>
    <row r="243" spans="1:13" x14ac:dyDescent="0.25">
      <c r="A243" s="9">
        <v>45899</v>
      </c>
      <c r="B243">
        <v>2025</v>
      </c>
      <c r="C243" t="s">
        <v>165</v>
      </c>
      <c r="D243">
        <v>3903</v>
      </c>
      <c r="E243">
        <v>41</v>
      </c>
      <c r="F243">
        <v>43</v>
      </c>
      <c r="G243">
        <v>122</v>
      </c>
      <c r="H243" s="10">
        <v>2418</v>
      </c>
      <c r="I243">
        <v>0</v>
      </c>
      <c r="J243" t="s">
        <v>13</v>
      </c>
      <c r="K243" t="s">
        <v>18</v>
      </c>
      <c r="L243" t="s">
        <v>15</v>
      </c>
      <c r="M243" t="s">
        <v>162</v>
      </c>
    </row>
    <row r="244" spans="1:13" x14ac:dyDescent="0.25">
      <c r="A244" s="9">
        <v>45900</v>
      </c>
      <c r="B244">
        <v>2025</v>
      </c>
      <c r="C244" t="s">
        <v>165</v>
      </c>
      <c r="D244">
        <v>3814</v>
      </c>
      <c r="E244">
        <v>9</v>
      </c>
      <c r="F244">
        <v>5</v>
      </c>
      <c r="G244">
        <v>375</v>
      </c>
      <c r="H244" s="10">
        <v>1352.24</v>
      </c>
      <c r="I244">
        <v>0</v>
      </c>
      <c r="J244" t="s">
        <v>13</v>
      </c>
      <c r="K244" t="s">
        <v>11</v>
      </c>
      <c r="L244" t="s">
        <v>17</v>
      </c>
      <c r="M244" t="s">
        <v>162</v>
      </c>
    </row>
    <row r="245" spans="1:13" x14ac:dyDescent="0.25">
      <c r="A245" s="9">
        <v>45901</v>
      </c>
      <c r="B245">
        <v>2025</v>
      </c>
      <c r="C245" t="s">
        <v>133</v>
      </c>
      <c r="D245">
        <v>705</v>
      </c>
      <c r="E245">
        <v>41</v>
      </c>
      <c r="F245">
        <v>24</v>
      </c>
      <c r="G245">
        <v>395</v>
      </c>
      <c r="H245" s="10">
        <v>973.54</v>
      </c>
      <c r="I245">
        <v>0</v>
      </c>
      <c r="J245" t="s">
        <v>3</v>
      </c>
      <c r="K245" t="s">
        <v>8</v>
      </c>
      <c r="L245" t="s">
        <v>10</v>
      </c>
      <c r="M245" t="s">
        <v>162</v>
      </c>
    </row>
    <row r="246" spans="1:13" x14ac:dyDescent="0.25">
      <c r="A246" s="9">
        <v>45902</v>
      </c>
      <c r="B246">
        <v>2025</v>
      </c>
      <c r="C246" t="s">
        <v>133</v>
      </c>
      <c r="D246">
        <v>1296</v>
      </c>
      <c r="E246">
        <v>36</v>
      </c>
      <c r="F246">
        <v>43</v>
      </c>
      <c r="G246">
        <v>28</v>
      </c>
      <c r="H246" s="10">
        <v>1940.16</v>
      </c>
      <c r="I246">
        <v>0</v>
      </c>
      <c r="J246" t="s">
        <v>3</v>
      </c>
      <c r="K246" t="s">
        <v>11</v>
      </c>
      <c r="L246" t="s">
        <v>10</v>
      </c>
      <c r="M246" t="s">
        <v>162</v>
      </c>
    </row>
    <row r="247" spans="1:13" x14ac:dyDescent="0.25">
      <c r="A247" s="9">
        <v>45903</v>
      </c>
      <c r="B247">
        <v>2025</v>
      </c>
      <c r="C247" t="s">
        <v>133</v>
      </c>
      <c r="D247">
        <v>744</v>
      </c>
      <c r="E247">
        <v>23</v>
      </c>
      <c r="F247">
        <v>5</v>
      </c>
      <c r="G247">
        <v>294</v>
      </c>
      <c r="H247" s="10">
        <v>289.72000000000003</v>
      </c>
      <c r="I247">
        <v>0</v>
      </c>
      <c r="J247" t="s">
        <v>3</v>
      </c>
      <c r="K247" t="s">
        <v>18</v>
      </c>
      <c r="L247" t="s">
        <v>17</v>
      </c>
      <c r="M247" t="s">
        <v>120</v>
      </c>
    </row>
    <row r="248" spans="1:13" x14ac:dyDescent="0.25">
      <c r="A248" s="9">
        <v>45904</v>
      </c>
      <c r="B248">
        <v>2025</v>
      </c>
      <c r="C248" t="s">
        <v>133</v>
      </c>
      <c r="D248">
        <v>2502</v>
      </c>
      <c r="E248">
        <v>24</v>
      </c>
      <c r="F248">
        <v>3</v>
      </c>
      <c r="G248">
        <v>173</v>
      </c>
      <c r="H248" s="10">
        <v>796.26</v>
      </c>
      <c r="I248">
        <v>0</v>
      </c>
      <c r="J248" t="s">
        <v>3</v>
      </c>
      <c r="K248" t="s">
        <v>18</v>
      </c>
      <c r="L248" t="s">
        <v>7</v>
      </c>
      <c r="M248" t="s">
        <v>120</v>
      </c>
    </row>
    <row r="249" spans="1:13" x14ac:dyDescent="0.25">
      <c r="A249" s="9">
        <v>45905</v>
      </c>
      <c r="B249">
        <v>2025</v>
      </c>
      <c r="C249" t="s">
        <v>133</v>
      </c>
      <c r="D249">
        <v>1400</v>
      </c>
      <c r="E249">
        <v>20</v>
      </c>
      <c r="F249">
        <v>1</v>
      </c>
      <c r="G249">
        <v>254</v>
      </c>
      <c r="H249" s="10">
        <v>2072.15</v>
      </c>
      <c r="I249">
        <v>0</v>
      </c>
      <c r="J249" t="s">
        <v>13</v>
      </c>
      <c r="K249" t="s">
        <v>11</v>
      </c>
      <c r="L249" t="s">
        <v>21</v>
      </c>
      <c r="M249" t="s">
        <v>120</v>
      </c>
    </row>
    <row r="250" spans="1:13" x14ac:dyDescent="0.25">
      <c r="A250" s="9">
        <v>45906</v>
      </c>
      <c r="B250">
        <v>2025</v>
      </c>
      <c r="C250" t="s">
        <v>133</v>
      </c>
      <c r="D250">
        <v>1678</v>
      </c>
      <c r="E250">
        <v>27</v>
      </c>
      <c r="F250">
        <v>11</v>
      </c>
      <c r="G250">
        <v>299</v>
      </c>
      <c r="H250" s="10">
        <v>915.73</v>
      </c>
      <c r="I250">
        <v>0</v>
      </c>
      <c r="J250" t="s">
        <v>3</v>
      </c>
      <c r="K250" t="s">
        <v>18</v>
      </c>
      <c r="L250" t="s">
        <v>1</v>
      </c>
      <c r="M250" t="s">
        <v>120</v>
      </c>
    </row>
    <row r="251" spans="1:13" x14ac:dyDescent="0.25">
      <c r="A251" s="9">
        <v>45907</v>
      </c>
      <c r="B251">
        <v>2025</v>
      </c>
      <c r="C251" t="s">
        <v>133</v>
      </c>
      <c r="D251">
        <v>2919</v>
      </c>
      <c r="E251">
        <v>13</v>
      </c>
      <c r="F251">
        <v>26</v>
      </c>
      <c r="G251">
        <v>167</v>
      </c>
      <c r="H251" s="10">
        <v>672.93</v>
      </c>
      <c r="I251">
        <v>0</v>
      </c>
      <c r="J251" t="s">
        <v>13</v>
      </c>
      <c r="K251" t="s">
        <v>8</v>
      </c>
      <c r="L251" t="s">
        <v>7</v>
      </c>
      <c r="M251" t="s">
        <v>120</v>
      </c>
    </row>
    <row r="252" spans="1:13" x14ac:dyDescent="0.25">
      <c r="A252" s="9">
        <v>45908</v>
      </c>
      <c r="B252">
        <v>2025</v>
      </c>
      <c r="C252" t="s">
        <v>133</v>
      </c>
      <c r="D252">
        <v>1704</v>
      </c>
      <c r="E252">
        <v>17</v>
      </c>
      <c r="F252">
        <v>27</v>
      </c>
      <c r="G252">
        <v>124</v>
      </c>
      <c r="H252" s="10">
        <v>1414.67</v>
      </c>
      <c r="I252">
        <v>0</v>
      </c>
      <c r="J252" t="s">
        <v>3</v>
      </c>
      <c r="K252" t="s">
        <v>18</v>
      </c>
      <c r="L252" t="s">
        <v>1</v>
      </c>
      <c r="M252" t="s">
        <v>120</v>
      </c>
    </row>
    <row r="253" spans="1:13" x14ac:dyDescent="0.25">
      <c r="A253" s="9">
        <v>45909</v>
      </c>
      <c r="B253">
        <v>2025</v>
      </c>
      <c r="C253" t="s">
        <v>133</v>
      </c>
      <c r="D253">
        <v>3083</v>
      </c>
      <c r="E253">
        <v>34</v>
      </c>
      <c r="F253">
        <v>43</v>
      </c>
      <c r="G253">
        <v>108</v>
      </c>
      <c r="H253" s="10">
        <v>698.19</v>
      </c>
      <c r="I253">
        <v>0</v>
      </c>
      <c r="J253" t="s">
        <v>13</v>
      </c>
      <c r="K253" t="s">
        <v>18</v>
      </c>
      <c r="L253" t="s">
        <v>1</v>
      </c>
      <c r="M253" t="s">
        <v>120</v>
      </c>
    </row>
    <row r="254" spans="1:13" x14ac:dyDescent="0.25">
      <c r="A254" s="9">
        <v>45910</v>
      </c>
      <c r="B254">
        <v>2025</v>
      </c>
      <c r="C254" t="s">
        <v>133</v>
      </c>
      <c r="D254">
        <v>706</v>
      </c>
      <c r="E254">
        <v>6</v>
      </c>
      <c r="F254">
        <v>37</v>
      </c>
      <c r="G254">
        <v>447</v>
      </c>
      <c r="H254" s="10">
        <v>1460.23</v>
      </c>
      <c r="I254">
        <v>0</v>
      </c>
      <c r="J254" t="s">
        <v>13</v>
      </c>
      <c r="K254" t="s">
        <v>18</v>
      </c>
      <c r="L254" t="s">
        <v>21</v>
      </c>
      <c r="M254" t="s">
        <v>120</v>
      </c>
    </row>
    <row r="255" spans="1:13" x14ac:dyDescent="0.25">
      <c r="A255" s="9">
        <v>45911</v>
      </c>
      <c r="B255">
        <v>2025</v>
      </c>
      <c r="C255" t="s">
        <v>133</v>
      </c>
      <c r="D255">
        <v>646</v>
      </c>
      <c r="E255">
        <v>9</v>
      </c>
      <c r="F255">
        <v>26</v>
      </c>
      <c r="G255">
        <v>219</v>
      </c>
      <c r="H255" s="10">
        <v>74.430000000000007</v>
      </c>
      <c r="I255">
        <v>0</v>
      </c>
      <c r="J255" t="s">
        <v>13</v>
      </c>
      <c r="K255" t="s">
        <v>18</v>
      </c>
      <c r="L255" t="s">
        <v>10</v>
      </c>
      <c r="M255" t="s">
        <v>120</v>
      </c>
    </row>
    <row r="256" spans="1:13" x14ac:dyDescent="0.25">
      <c r="A256" s="9">
        <v>45912</v>
      </c>
      <c r="B256">
        <v>2025</v>
      </c>
      <c r="C256" t="s">
        <v>133</v>
      </c>
      <c r="D256">
        <v>1084</v>
      </c>
      <c r="E256">
        <v>34</v>
      </c>
      <c r="F256">
        <v>2</v>
      </c>
      <c r="G256">
        <v>72</v>
      </c>
      <c r="H256" s="10">
        <v>1459.64</v>
      </c>
      <c r="I256">
        <v>0</v>
      </c>
      <c r="J256" t="s">
        <v>13</v>
      </c>
      <c r="K256" t="s">
        <v>11</v>
      </c>
      <c r="L256" t="s">
        <v>7</v>
      </c>
      <c r="M256" t="s">
        <v>120</v>
      </c>
    </row>
    <row r="257" spans="1:13" x14ac:dyDescent="0.25">
      <c r="A257" s="9">
        <v>45913</v>
      </c>
      <c r="B257">
        <v>2025</v>
      </c>
      <c r="C257" t="s">
        <v>133</v>
      </c>
      <c r="D257">
        <v>3175</v>
      </c>
      <c r="E257">
        <v>35</v>
      </c>
      <c r="F257">
        <v>12</v>
      </c>
      <c r="G257">
        <v>147</v>
      </c>
      <c r="H257" s="10">
        <v>555.87</v>
      </c>
      <c r="I257">
        <v>0</v>
      </c>
      <c r="J257" t="s">
        <v>13</v>
      </c>
      <c r="K257" t="s">
        <v>18</v>
      </c>
      <c r="L257" t="s">
        <v>7</v>
      </c>
      <c r="M257" t="s">
        <v>120</v>
      </c>
    </row>
    <row r="258" spans="1:13" x14ac:dyDescent="0.25">
      <c r="A258" s="9">
        <v>45914</v>
      </c>
      <c r="B258">
        <v>2025</v>
      </c>
      <c r="C258" t="s">
        <v>133</v>
      </c>
      <c r="D258">
        <v>3475</v>
      </c>
      <c r="E258">
        <v>6</v>
      </c>
      <c r="F258">
        <v>38</v>
      </c>
      <c r="G258">
        <v>396</v>
      </c>
      <c r="H258" s="10">
        <v>150.94999999999999</v>
      </c>
      <c r="I258">
        <v>0</v>
      </c>
      <c r="J258" t="s">
        <v>3</v>
      </c>
      <c r="K258" t="s">
        <v>2</v>
      </c>
      <c r="L258" t="s">
        <v>7</v>
      </c>
      <c r="M258" t="s">
        <v>120</v>
      </c>
    </row>
    <row r="259" spans="1:13" x14ac:dyDescent="0.25">
      <c r="A259" s="9">
        <v>45915</v>
      </c>
      <c r="B259">
        <v>2025</v>
      </c>
      <c r="C259" t="s">
        <v>133</v>
      </c>
      <c r="D259">
        <v>2787</v>
      </c>
      <c r="E259">
        <v>39</v>
      </c>
      <c r="F259">
        <v>-4</v>
      </c>
      <c r="G259">
        <v>257</v>
      </c>
      <c r="H259" s="10">
        <v>1519.76</v>
      </c>
      <c r="I259">
        <v>0</v>
      </c>
      <c r="J259" t="s">
        <v>3</v>
      </c>
      <c r="K259" t="s">
        <v>18</v>
      </c>
      <c r="L259" t="s">
        <v>1</v>
      </c>
      <c r="M259" t="s">
        <v>120</v>
      </c>
    </row>
    <row r="260" spans="1:13" x14ac:dyDescent="0.25">
      <c r="A260" s="9">
        <v>45916</v>
      </c>
      <c r="B260">
        <v>2025</v>
      </c>
      <c r="C260" t="s">
        <v>133</v>
      </c>
      <c r="D260">
        <v>1376</v>
      </c>
      <c r="E260">
        <v>8</v>
      </c>
      <c r="F260">
        <v>0</v>
      </c>
      <c r="G260">
        <v>326</v>
      </c>
      <c r="H260" s="10">
        <v>1284.79</v>
      </c>
      <c r="I260">
        <v>0</v>
      </c>
      <c r="J260" t="s">
        <v>13</v>
      </c>
      <c r="K260" t="s">
        <v>11</v>
      </c>
      <c r="L260" t="s">
        <v>10</v>
      </c>
      <c r="M260" t="s">
        <v>120</v>
      </c>
    </row>
    <row r="261" spans="1:13" x14ac:dyDescent="0.25">
      <c r="A261" s="9">
        <v>45917</v>
      </c>
      <c r="B261">
        <v>2025</v>
      </c>
      <c r="C261" t="s">
        <v>133</v>
      </c>
      <c r="D261">
        <v>3745</v>
      </c>
      <c r="E261">
        <v>8</v>
      </c>
      <c r="F261">
        <v>25</v>
      </c>
      <c r="G261">
        <v>392</v>
      </c>
      <c r="H261" s="10">
        <v>1215.96</v>
      </c>
      <c r="I261">
        <v>0</v>
      </c>
      <c r="J261" t="s">
        <v>13</v>
      </c>
      <c r="K261" t="s">
        <v>8</v>
      </c>
      <c r="L261" t="s">
        <v>7</v>
      </c>
      <c r="M261" t="s">
        <v>120</v>
      </c>
    </row>
    <row r="262" spans="1:13" x14ac:dyDescent="0.25">
      <c r="A262" s="9">
        <v>45918</v>
      </c>
      <c r="B262">
        <v>2025</v>
      </c>
      <c r="C262" t="s">
        <v>133</v>
      </c>
      <c r="D262">
        <v>4266</v>
      </c>
      <c r="E262">
        <v>12</v>
      </c>
      <c r="F262">
        <v>16</v>
      </c>
      <c r="G262">
        <v>62</v>
      </c>
      <c r="H262" s="10">
        <v>1206.03</v>
      </c>
      <c r="I262">
        <v>0</v>
      </c>
      <c r="J262" t="s">
        <v>13</v>
      </c>
      <c r="K262" t="s">
        <v>8</v>
      </c>
      <c r="L262" t="s">
        <v>1</v>
      </c>
      <c r="M262" t="s">
        <v>120</v>
      </c>
    </row>
    <row r="263" spans="1:13" x14ac:dyDescent="0.25">
      <c r="A263" s="9">
        <v>45919</v>
      </c>
      <c r="B263">
        <v>2025</v>
      </c>
      <c r="C263" t="s">
        <v>133</v>
      </c>
      <c r="D263">
        <v>1236</v>
      </c>
      <c r="E263">
        <v>35</v>
      </c>
      <c r="F263">
        <v>50</v>
      </c>
      <c r="G263">
        <v>406</v>
      </c>
      <c r="H263" s="10">
        <v>947.45</v>
      </c>
      <c r="I263">
        <v>0</v>
      </c>
      <c r="J263" t="s">
        <v>13</v>
      </c>
      <c r="K263" t="s">
        <v>2</v>
      </c>
      <c r="L263" t="s">
        <v>17</v>
      </c>
      <c r="M263" t="s">
        <v>120</v>
      </c>
    </row>
    <row r="264" spans="1:13" x14ac:dyDescent="0.25">
      <c r="A264" s="9">
        <v>45920</v>
      </c>
      <c r="B264">
        <v>2025</v>
      </c>
      <c r="C264" t="s">
        <v>133</v>
      </c>
      <c r="D264">
        <v>3935</v>
      </c>
      <c r="E264">
        <v>25</v>
      </c>
      <c r="F264">
        <v>-3</v>
      </c>
      <c r="G264">
        <v>275</v>
      </c>
      <c r="H264" s="10">
        <v>1974.41</v>
      </c>
      <c r="I264">
        <v>0</v>
      </c>
      <c r="J264" t="s">
        <v>3</v>
      </c>
      <c r="K264" t="s">
        <v>18</v>
      </c>
      <c r="L264" t="s">
        <v>21</v>
      </c>
      <c r="M264" t="s">
        <v>120</v>
      </c>
    </row>
    <row r="265" spans="1:13" x14ac:dyDescent="0.25">
      <c r="A265" s="9">
        <v>45921</v>
      </c>
      <c r="B265">
        <v>2025</v>
      </c>
      <c r="C265" t="s">
        <v>133</v>
      </c>
      <c r="D265">
        <v>2034</v>
      </c>
      <c r="E265">
        <v>5</v>
      </c>
      <c r="F265">
        <v>38</v>
      </c>
      <c r="G265">
        <v>167</v>
      </c>
      <c r="H265" s="10">
        <v>1384</v>
      </c>
      <c r="I265">
        <v>0</v>
      </c>
      <c r="J265" t="s">
        <v>13</v>
      </c>
      <c r="K265" t="s">
        <v>11</v>
      </c>
      <c r="L265" t="s">
        <v>7</v>
      </c>
      <c r="M265" t="s">
        <v>120</v>
      </c>
    </row>
    <row r="266" spans="1:13" x14ac:dyDescent="0.25">
      <c r="A266" s="9">
        <v>45922</v>
      </c>
      <c r="B266">
        <v>2025</v>
      </c>
      <c r="C266" t="s">
        <v>133</v>
      </c>
      <c r="D266">
        <v>3902</v>
      </c>
      <c r="E266">
        <v>37</v>
      </c>
      <c r="F266">
        <v>28</v>
      </c>
      <c r="G266">
        <v>45</v>
      </c>
      <c r="H266" s="10">
        <v>334.75</v>
      </c>
      <c r="I266">
        <v>0</v>
      </c>
      <c r="J266" t="s">
        <v>13</v>
      </c>
      <c r="K266" t="s">
        <v>18</v>
      </c>
      <c r="L266" t="s">
        <v>7</v>
      </c>
      <c r="M266" t="s">
        <v>120</v>
      </c>
    </row>
    <row r="267" spans="1:13" x14ac:dyDescent="0.25">
      <c r="A267" s="9">
        <v>45923</v>
      </c>
      <c r="B267">
        <v>2025</v>
      </c>
      <c r="C267" t="s">
        <v>133</v>
      </c>
      <c r="D267">
        <v>3550</v>
      </c>
      <c r="E267">
        <v>5</v>
      </c>
      <c r="F267">
        <v>13</v>
      </c>
      <c r="G267">
        <v>82</v>
      </c>
      <c r="H267" s="10">
        <v>1312.21</v>
      </c>
      <c r="I267">
        <v>0</v>
      </c>
      <c r="J267" t="s">
        <v>13</v>
      </c>
      <c r="K267" t="s">
        <v>18</v>
      </c>
      <c r="L267" t="s">
        <v>10</v>
      </c>
      <c r="M267" t="s">
        <v>120</v>
      </c>
    </row>
    <row r="268" spans="1:13" x14ac:dyDescent="0.25">
      <c r="A268" s="9">
        <v>45924</v>
      </c>
      <c r="B268">
        <v>2025</v>
      </c>
      <c r="C268" t="s">
        <v>133</v>
      </c>
      <c r="D268">
        <v>1747</v>
      </c>
      <c r="E268">
        <v>36</v>
      </c>
      <c r="F268">
        <v>48</v>
      </c>
      <c r="G268">
        <v>219</v>
      </c>
      <c r="H268" s="10">
        <v>2018.79</v>
      </c>
      <c r="I268">
        <v>0</v>
      </c>
      <c r="J268" t="s">
        <v>3</v>
      </c>
      <c r="K268" t="s">
        <v>18</v>
      </c>
      <c r="L268" t="s">
        <v>7</v>
      </c>
      <c r="M268" t="s">
        <v>120</v>
      </c>
    </row>
    <row r="269" spans="1:13" x14ac:dyDescent="0.25">
      <c r="A269" s="9">
        <v>45925</v>
      </c>
      <c r="B269">
        <v>2025</v>
      </c>
      <c r="C269" t="s">
        <v>133</v>
      </c>
      <c r="D269">
        <v>3709</v>
      </c>
      <c r="E269">
        <v>18</v>
      </c>
      <c r="F269">
        <v>9</v>
      </c>
      <c r="G269">
        <v>322</v>
      </c>
      <c r="H269" s="10">
        <v>964.17</v>
      </c>
      <c r="I269">
        <v>0</v>
      </c>
      <c r="J269" t="s">
        <v>13</v>
      </c>
      <c r="K269" t="s">
        <v>18</v>
      </c>
      <c r="L269" t="s">
        <v>10</v>
      </c>
      <c r="M269" t="s">
        <v>120</v>
      </c>
    </row>
    <row r="270" spans="1:13" x14ac:dyDescent="0.25">
      <c r="A270" s="9">
        <v>45926</v>
      </c>
      <c r="B270">
        <v>2025</v>
      </c>
      <c r="C270" t="s">
        <v>133</v>
      </c>
      <c r="D270">
        <v>4399</v>
      </c>
      <c r="E270">
        <v>10</v>
      </c>
      <c r="F270">
        <v>10</v>
      </c>
      <c r="G270">
        <v>422</v>
      </c>
      <c r="H270" s="10">
        <v>2409.69</v>
      </c>
      <c r="I270">
        <v>0</v>
      </c>
      <c r="J270" t="s">
        <v>13</v>
      </c>
      <c r="K270" t="s">
        <v>18</v>
      </c>
      <c r="L270" t="s">
        <v>7</v>
      </c>
      <c r="M270" t="s">
        <v>120</v>
      </c>
    </row>
    <row r="271" spans="1:13" x14ac:dyDescent="0.25">
      <c r="A271" s="9">
        <v>45927</v>
      </c>
      <c r="B271">
        <v>2025</v>
      </c>
      <c r="C271" t="s">
        <v>133</v>
      </c>
      <c r="D271">
        <v>3954</v>
      </c>
      <c r="E271">
        <v>15</v>
      </c>
      <c r="F271">
        <v>22</v>
      </c>
      <c r="G271">
        <v>194</v>
      </c>
      <c r="H271" s="10">
        <v>1869.83</v>
      </c>
      <c r="I271">
        <v>0</v>
      </c>
      <c r="J271" t="s">
        <v>3</v>
      </c>
      <c r="K271" t="s">
        <v>18</v>
      </c>
      <c r="L271" t="s">
        <v>21</v>
      </c>
      <c r="M271" t="s">
        <v>120</v>
      </c>
    </row>
    <row r="272" spans="1:13" x14ac:dyDescent="0.25">
      <c r="A272" s="9">
        <v>45928</v>
      </c>
      <c r="B272">
        <v>2025</v>
      </c>
      <c r="C272" t="s">
        <v>133</v>
      </c>
      <c r="D272">
        <v>552</v>
      </c>
      <c r="E272">
        <v>16</v>
      </c>
      <c r="F272">
        <v>-2</v>
      </c>
      <c r="G272">
        <v>262</v>
      </c>
      <c r="H272" s="10">
        <v>1206.1400000000001</v>
      </c>
      <c r="I272">
        <v>0</v>
      </c>
      <c r="J272" t="s">
        <v>13</v>
      </c>
      <c r="K272" t="s">
        <v>18</v>
      </c>
      <c r="L272" t="s">
        <v>21</v>
      </c>
      <c r="M272" t="s">
        <v>120</v>
      </c>
    </row>
    <row r="273" spans="1:13" x14ac:dyDescent="0.25">
      <c r="A273" s="9">
        <v>45929</v>
      </c>
      <c r="B273">
        <v>2025</v>
      </c>
      <c r="C273" t="s">
        <v>133</v>
      </c>
      <c r="D273">
        <v>4719</v>
      </c>
      <c r="E273">
        <v>33</v>
      </c>
      <c r="F273">
        <v>12</v>
      </c>
      <c r="G273">
        <v>127</v>
      </c>
      <c r="H273" s="10">
        <v>1241.55</v>
      </c>
      <c r="I273">
        <v>0</v>
      </c>
      <c r="J273" t="s">
        <v>3</v>
      </c>
      <c r="K273" t="s">
        <v>11</v>
      </c>
      <c r="L273" t="s">
        <v>7</v>
      </c>
      <c r="M273" t="s">
        <v>120</v>
      </c>
    </row>
    <row r="274" spans="1:13" x14ac:dyDescent="0.25">
      <c r="A274" s="9">
        <v>45930</v>
      </c>
      <c r="B274">
        <v>2025</v>
      </c>
      <c r="C274" t="s">
        <v>133</v>
      </c>
      <c r="D274">
        <v>4154</v>
      </c>
      <c r="E274">
        <v>44</v>
      </c>
      <c r="F274">
        <v>-5</v>
      </c>
      <c r="G274">
        <v>399</v>
      </c>
      <c r="H274" s="10">
        <v>1922.51</v>
      </c>
      <c r="I274">
        <v>0</v>
      </c>
      <c r="J274" t="s">
        <v>13</v>
      </c>
      <c r="K274" t="s">
        <v>18</v>
      </c>
      <c r="L274" t="s">
        <v>7</v>
      </c>
      <c r="M274" t="s">
        <v>120</v>
      </c>
    </row>
    <row r="275" spans="1:13" x14ac:dyDescent="0.25">
      <c r="A275" s="9">
        <v>45931</v>
      </c>
      <c r="B275">
        <v>2025</v>
      </c>
      <c r="C275" t="s">
        <v>100</v>
      </c>
      <c r="D275">
        <v>1129</v>
      </c>
      <c r="E275">
        <v>23</v>
      </c>
      <c r="F275">
        <v>34</v>
      </c>
      <c r="G275">
        <v>166</v>
      </c>
      <c r="H275" s="10">
        <v>2329.19</v>
      </c>
      <c r="I275">
        <v>0</v>
      </c>
      <c r="J275" t="s">
        <v>13</v>
      </c>
      <c r="K275" t="s">
        <v>18</v>
      </c>
      <c r="L275" t="s">
        <v>10</v>
      </c>
      <c r="M275" t="s">
        <v>120</v>
      </c>
    </row>
    <row r="276" spans="1:13" x14ac:dyDescent="0.25">
      <c r="A276" s="9">
        <v>45932</v>
      </c>
      <c r="B276">
        <v>2025</v>
      </c>
      <c r="C276" t="s">
        <v>100</v>
      </c>
      <c r="D276">
        <v>1906</v>
      </c>
      <c r="E276">
        <v>40</v>
      </c>
      <c r="F276">
        <v>24</v>
      </c>
      <c r="G276">
        <v>174</v>
      </c>
      <c r="H276" s="10">
        <v>744.03</v>
      </c>
      <c r="I276">
        <v>0</v>
      </c>
      <c r="J276" t="s">
        <v>3</v>
      </c>
      <c r="K276" t="s">
        <v>18</v>
      </c>
      <c r="L276" t="s">
        <v>10</v>
      </c>
      <c r="M276" t="s">
        <v>120</v>
      </c>
    </row>
    <row r="277" spans="1:13" x14ac:dyDescent="0.25">
      <c r="A277" s="9">
        <v>45933</v>
      </c>
      <c r="B277">
        <v>2025</v>
      </c>
      <c r="C277" t="s">
        <v>100</v>
      </c>
      <c r="D277">
        <v>3540</v>
      </c>
      <c r="E277">
        <v>42</v>
      </c>
      <c r="F277">
        <v>19</v>
      </c>
      <c r="G277">
        <v>70</v>
      </c>
      <c r="H277" s="10">
        <v>586.96</v>
      </c>
      <c r="I277">
        <v>0</v>
      </c>
      <c r="J277" t="s">
        <v>13</v>
      </c>
      <c r="K277" t="s">
        <v>18</v>
      </c>
      <c r="L277" t="s">
        <v>17</v>
      </c>
      <c r="M277" t="s">
        <v>120</v>
      </c>
    </row>
    <row r="278" spans="1:13" x14ac:dyDescent="0.25">
      <c r="A278" s="9">
        <v>45934</v>
      </c>
      <c r="B278">
        <v>2025</v>
      </c>
      <c r="C278" t="s">
        <v>100</v>
      </c>
      <c r="D278">
        <v>4994</v>
      </c>
      <c r="E278">
        <v>6</v>
      </c>
      <c r="F278">
        <v>3</v>
      </c>
      <c r="G278">
        <v>146</v>
      </c>
      <c r="H278" s="10">
        <v>681.4</v>
      </c>
      <c r="I278">
        <v>0</v>
      </c>
      <c r="J278" t="s">
        <v>13</v>
      </c>
      <c r="K278" t="s">
        <v>18</v>
      </c>
      <c r="L278" t="s">
        <v>10</v>
      </c>
      <c r="M278" t="s">
        <v>120</v>
      </c>
    </row>
    <row r="279" spans="1:13" x14ac:dyDescent="0.25">
      <c r="A279" s="9">
        <v>45935</v>
      </c>
      <c r="B279">
        <v>2025</v>
      </c>
      <c r="C279" t="s">
        <v>100</v>
      </c>
      <c r="D279">
        <v>756</v>
      </c>
      <c r="E279">
        <v>41</v>
      </c>
      <c r="F279">
        <v>34</v>
      </c>
      <c r="G279">
        <v>390</v>
      </c>
      <c r="H279" s="10">
        <v>1356.42</v>
      </c>
      <c r="I279">
        <v>0</v>
      </c>
      <c r="J279" t="s">
        <v>13</v>
      </c>
      <c r="K279" t="s">
        <v>18</v>
      </c>
      <c r="L279" t="s">
        <v>7</v>
      </c>
      <c r="M279" t="s">
        <v>120</v>
      </c>
    </row>
    <row r="280" spans="1:13" x14ac:dyDescent="0.25">
      <c r="A280" s="9">
        <v>45936</v>
      </c>
      <c r="B280">
        <v>2025</v>
      </c>
      <c r="C280" t="s">
        <v>100</v>
      </c>
      <c r="D280">
        <v>2118</v>
      </c>
      <c r="E280">
        <v>32</v>
      </c>
      <c r="F280">
        <v>6</v>
      </c>
      <c r="G280">
        <v>52</v>
      </c>
      <c r="H280" s="10">
        <v>1293.47</v>
      </c>
      <c r="I280">
        <v>0</v>
      </c>
      <c r="J280" t="s">
        <v>13</v>
      </c>
      <c r="K280" t="s">
        <v>8</v>
      </c>
      <c r="L280" t="s">
        <v>7</v>
      </c>
      <c r="M280" t="s">
        <v>120</v>
      </c>
    </row>
    <row r="281" spans="1:13" x14ac:dyDescent="0.25">
      <c r="A281" s="9">
        <v>45937</v>
      </c>
      <c r="B281">
        <v>2025</v>
      </c>
      <c r="C281" t="s">
        <v>100</v>
      </c>
      <c r="D281">
        <v>4875</v>
      </c>
      <c r="E281">
        <v>25</v>
      </c>
      <c r="F281">
        <v>10</v>
      </c>
      <c r="G281">
        <v>443</v>
      </c>
      <c r="H281" s="10">
        <v>967.26</v>
      </c>
      <c r="I281">
        <v>0</v>
      </c>
      <c r="J281" t="s">
        <v>13</v>
      </c>
      <c r="K281" t="s">
        <v>11</v>
      </c>
      <c r="L281" t="s">
        <v>10</v>
      </c>
      <c r="M281" t="s">
        <v>120</v>
      </c>
    </row>
    <row r="282" spans="1:13" x14ac:dyDescent="0.25">
      <c r="A282" s="9">
        <v>45938</v>
      </c>
      <c r="B282">
        <v>2025</v>
      </c>
      <c r="C282" t="s">
        <v>100</v>
      </c>
      <c r="D282">
        <v>3643</v>
      </c>
      <c r="E282">
        <v>39</v>
      </c>
      <c r="F282">
        <v>9</v>
      </c>
      <c r="G282">
        <v>88</v>
      </c>
      <c r="H282" s="10">
        <v>1786.27</v>
      </c>
      <c r="I282">
        <v>0</v>
      </c>
      <c r="J282" t="s">
        <v>3</v>
      </c>
      <c r="K282" t="s">
        <v>11</v>
      </c>
      <c r="L282" t="s">
        <v>17</v>
      </c>
      <c r="M282" t="s">
        <v>120</v>
      </c>
    </row>
    <row r="283" spans="1:13" x14ac:dyDescent="0.25">
      <c r="A283" s="9">
        <v>45939</v>
      </c>
      <c r="B283">
        <v>2025</v>
      </c>
      <c r="C283" t="s">
        <v>100</v>
      </c>
      <c r="D283">
        <v>2615</v>
      </c>
      <c r="E283">
        <v>19</v>
      </c>
      <c r="F283">
        <v>22</v>
      </c>
      <c r="G283">
        <v>209</v>
      </c>
      <c r="H283" s="10">
        <v>1747.24</v>
      </c>
      <c r="I283">
        <v>0</v>
      </c>
      <c r="J283" t="s">
        <v>13</v>
      </c>
      <c r="K283" t="s">
        <v>18</v>
      </c>
      <c r="L283" t="s">
        <v>7</v>
      </c>
      <c r="M283" t="s">
        <v>120</v>
      </c>
    </row>
    <row r="284" spans="1:13" x14ac:dyDescent="0.25">
      <c r="A284" s="9">
        <v>45940</v>
      </c>
      <c r="B284">
        <v>2025</v>
      </c>
      <c r="C284" t="s">
        <v>100</v>
      </c>
      <c r="D284">
        <v>1379</v>
      </c>
      <c r="E284">
        <v>42</v>
      </c>
      <c r="F284">
        <v>30</v>
      </c>
      <c r="G284">
        <v>106</v>
      </c>
      <c r="H284" s="10">
        <v>2097.5500000000002</v>
      </c>
      <c r="I284">
        <v>0</v>
      </c>
      <c r="J284" t="s">
        <v>13</v>
      </c>
      <c r="K284" t="s">
        <v>18</v>
      </c>
      <c r="L284" t="s">
        <v>7</v>
      </c>
      <c r="M284" t="s">
        <v>120</v>
      </c>
    </row>
    <row r="285" spans="1:13" x14ac:dyDescent="0.25">
      <c r="A285" s="9">
        <v>45941</v>
      </c>
      <c r="B285">
        <v>2025</v>
      </c>
      <c r="C285" t="s">
        <v>100</v>
      </c>
      <c r="D285">
        <v>970</v>
      </c>
      <c r="E285">
        <v>27</v>
      </c>
      <c r="F285">
        <v>20</v>
      </c>
      <c r="G285">
        <v>151</v>
      </c>
      <c r="H285" s="10">
        <v>726.91</v>
      </c>
      <c r="I285">
        <v>0</v>
      </c>
      <c r="J285" t="s">
        <v>13</v>
      </c>
      <c r="K285" t="s">
        <v>11</v>
      </c>
      <c r="L285" t="s">
        <v>10</v>
      </c>
      <c r="M285" t="s">
        <v>120</v>
      </c>
    </row>
    <row r="286" spans="1:13" x14ac:dyDescent="0.25">
      <c r="A286" s="9">
        <v>45942</v>
      </c>
      <c r="B286">
        <v>2025</v>
      </c>
      <c r="C286" t="s">
        <v>100</v>
      </c>
      <c r="D286">
        <v>3605</v>
      </c>
      <c r="E286">
        <v>32</v>
      </c>
      <c r="F286">
        <v>25</v>
      </c>
      <c r="G286">
        <v>134</v>
      </c>
      <c r="H286" s="10">
        <v>393.3</v>
      </c>
      <c r="I286">
        <v>0</v>
      </c>
      <c r="J286" t="s">
        <v>13</v>
      </c>
      <c r="K286" t="s">
        <v>18</v>
      </c>
      <c r="L286" t="s">
        <v>7</v>
      </c>
      <c r="M286" t="s">
        <v>120</v>
      </c>
    </row>
    <row r="287" spans="1:13" x14ac:dyDescent="0.25">
      <c r="A287" s="9">
        <v>45943</v>
      </c>
      <c r="B287">
        <v>2025</v>
      </c>
      <c r="C287" t="s">
        <v>100</v>
      </c>
      <c r="D287">
        <v>3271</v>
      </c>
      <c r="E287">
        <v>36</v>
      </c>
      <c r="F287">
        <v>1</v>
      </c>
      <c r="G287">
        <v>51</v>
      </c>
      <c r="H287" s="10">
        <v>574.54</v>
      </c>
      <c r="I287">
        <v>0</v>
      </c>
      <c r="J287" t="s">
        <v>13</v>
      </c>
      <c r="K287" t="s">
        <v>18</v>
      </c>
      <c r="L287" t="s">
        <v>21</v>
      </c>
      <c r="M287" t="s">
        <v>83</v>
      </c>
    </row>
    <row r="288" spans="1:13" x14ac:dyDescent="0.25">
      <c r="A288" s="9">
        <v>45944</v>
      </c>
      <c r="B288">
        <v>2025</v>
      </c>
      <c r="C288" t="s">
        <v>100</v>
      </c>
      <c r="D288">
        <v>648</v>
      </c>
      <c r="E288">
        <v>33</v>
      </c>
      <c r="F288">
        <v>34</v>
      </c>
      <c r="G288">
        <v>260</v>
      </c>
      <c r="H288" s="10">
        <v>292.45999999999998</v>
      </c>
      <c r="I288">
        <v>0</v>
      </c>
      <c r="J288" t="s">
        <v>13</v>
      </c>
      <c r="K288" t="s">
        <v>2</v>
      </c>
      <c r="L288" t="s">
        <v>1</v>
      </c>
      <c r="M288" t="s">
        <v>83</v>
      </c>
    </row>
    <row r="289" spans="1:13" x14ac:dyDescent="0.25">
      <c r="A289" s="9">
        <v>45945</v>
      </c>
      <c r="B289">
        <v>2025</v>
      </c>
      <c r="C289" t="s">
        <v>100</v>
      </c>
      <c r="D289">
        <v>4263</v>
      </c>
      <c r="E289">
        <v>34</v>
      </c>
      <c r="F289">
        <v>40</v>
      </c>
      <c r="G289">
        <v>336</v>
      </c>
      <c r="H289" s="10">
        <v>1140.1199999999999</v>
      </c>
      <c r="I289">
        <v>0</v>
      </c>
      <c r="J289" t="s">
        <v>3</v>
      </c>
      <c r="K289" t="s">
        <v>18</v>
      </c>
      <c r="L289" t="s">
        <v>7</v>
      </c>
      <c r="M289" t="s">
        <v>83</v>
      </c>
    </row>
    <row r="290" spans="1:13" x14ac:dyDescent="0.25">
      <c r="A290" s="9">
        <v>45946</v>
      </c>
      <c r="B290">
        <v>2025</v>
      </c>
      <c r="C290" t="s">
        <v>100</v>
      </c>
      <c r="D290">
        <v>4046</v>
      </c>
      <c r="E290">
        <v>27</v>
      </c>
      <c r="F290">
        <v>43</v>
      </c>
      <c r="G290">
        <v>42</v>
      </c>
      <c r="H290" s="10">
        <v>300.2</v>
      </c>
      <c r="I290">
        <v>0</v>
      </c>
      <c r="J290" t="s">
        <v>13</v>
      </c>
      <c r="K290" t="s">
        <v>11</v>
      </c>
      <c r="L290" t="s">
        <v>1</v>
      </c>
      <c r="M290" t="s">
        <v>83</v>
      </c>
    </row>
    <row r="291" spans="1:13" x14ac:dyDescent="0.25">
      <c r="A291" s="9">
        <v>45947</v>
      </c>
      <c r="B291">
        <v>2025</v>
      </c>
      <c r="C291" t="s">
        <v>100</v>
      </c>
      <c r="D291">
        <v>4175</v>
      </c>
      <c r="E291">
        <v>40</v>
      </c>
      <c r="F291">
        <v>25</v>
      </c>
      <c r="G291">
        <v>353</v>
      </c>
      <c r="H291" s="10">
        <v>261.92</v>
      </c>
      <c r="I291">
        <v>0</v>
      </c>
      <c r="J291" t="s">
        <v>13</v>
      </c>
      <c r="K291" t="s">
        <v>18</v>
      </c>
      <c r="L291" t="s">
        <v>7</v>
      </c>
      <c r="M291" t="s">
        <v>83</v>
      </c>
    </row>
    <row r="292" spans="1:13" x14ac:dyDescent="0.25">
      <c r="A292" s="9">
        <v>45948</v>
      </c>
      <c r="B292">
        <v>2025</v>
      </c>
      <c r="C292" t="s">
        <v>100</v>
      </c>
      <c r="D292">
        <v>3392</v>
      </c>
      <c r="E292">
        <v>44</v>
      </c>
      <c r="F292">
        <v>38</v>
      </c>
      <c r="G292">
        <v>414</v>
      </c>
      <c r="H292" s="10">
        <v>2182.12</v>
      </c>
      <c r="I292">
        <v>0</v>
      </c>
      <c r="J292" t="s">
        <v>13</v>
      </c>
      <c r="K292" t="s">
        <v>18</v>
      </c>
      <c r="L292" t="s">
        <v>17</v>
      </c>
      <c r="M292" t="s">
        <v>83</v>
      </c>
    </row>
    <row r="293" spans="1:13" x14ac:dyDescent="0.25">
      <c r="A293" s="9">
        <v>45949</v>
      </c>
      <c r="B293">
        <v>2025</v>
      </c>
      <c r="C293" t="s">
        <v>100</v>
      </c>
      <c r="D293">
        <v>3459</v>
      </c>
      <c r="E293">
        <v>37</v>
      </c>
      <c r="F293">
        <v>34</v>
      </c>
      <c r="G293">
        <v>101</v>
      </c>
      <c r="H293" s="10">
        <v>2092.58</v>
      </c>
      <c r="I293">
        <v>0</v>
      </c>
      <c r="J293" t="s">
        <v>13</v>
      </c>
      <c r="K293" t="s">
        <v>18</v>
      </c>
      <c r="L293" t="s">
        <v>17</v>
      </c>
      <c r="M293" t="s">
        <v>83</v>
      </c>
    </row>
    <row r="294" spans="1:13" x14ac:dyDescent="0.25">
      <c r="A294" s="9">
        <v>45950</v>
      </c>
      <c r="B294">
        <v>2025</v>
      </c>
      <c r="C294" t="s">
        <v>100</v>
      </c>
      <c r="D294">
        <v>676</v>
      </c>
      <c r="E294">
        <v>26</v>
      </c>
      <c r="F294">
        <v>31</v>
      </c>
      <c r="G294">
        <v>359</v>
      </c>
      <c r="H294" s="10">
        <v>607.63</v>
      </c>
      <c r="I294">
        <v>0</v>
      </c>
      <c r="J294" t="s">
        <v>13</v>
      </c>
      <c r="K294" t="s">
        <v>11</v>
      </c>
      <c r="L294" t="s">
        <v>1</v>
      </c>
      <c r="M294" t="s">
        <v>83</v>
      </c>
    </row>
    <row r="295" spans="1:13" x14ac:dyDescent="0.25">
      <c r="A295" s="9">
        <v>45951</v>
      </c>
      <c r="B295">
        <v>2025</v>
      </c>
      <c r="C295" t="s">
        <v>100</v>
      </c>
      <c r="D295">
        <v>1519</v>
      </c>
      <c r="E295">
        <v>19</v>
      </c>
      <c r="F295">
        <v>34</v>
      </c>
      <c r="G295">
        <v>352</v>
      </c>
      <c r="H295" s="10">
        <v>974.67</v>
      </c>
      <c r="I295">
        <v>0</v>
      </c>
      <c r="J295" t="s">
        <v>13</v>
      </c>
      <c r="K295" t="s">
        <v>11</v>
      </c>
      <c r="L295" t="s">
        <v>17</v>
      </c>
      <c r="M295" t="s">
        <v>83</v>
      </c>
    </row>
    <row r="296" spans="1:13" x14ac:dyDescent="0.25">
      <c r="A296" s="9">
        <v>45952</v>
      </c>
      <c r="B296">
        <v>2025</v>
      </c>
      <c r="C296" t="s">
        <v>100</v>
      </c>
      <c r="D296">
        <v>3684</v>
      </c>
      <c r="E296">
        <v>18</v>
      </c>
      <c r="F296">
        <v>18</v>
      </c>
      <c r="G296">
        <v>186</v>
      </c>
      <c r="H296" s="10">
        <v>1688.36</v>
      </c>
      <c r="I296">
        <v>0</v>
      </c>
      <c r="J296" t="s">
        <v>13</v>
      </c>
      <c r="K296" t="s">
        <v>18</v>
      </c>
      <c r="L296" t="s">
        <v>10</v>
      </c>
      <c r="M296" t="s">
        <v>83</v>
      </c>
    </row>
    <row r="297" spans="1:13" x14ac:dyDescent="0.25">
      <c r="A297" s="9">
        <v>45953</v>
      </c>
      <c r="B297">
        <v>2025</v>
      </c>
      <c r="C297" t="s">
        <v>100</v>
      </c>
      <c r="D297">
        <v>3956</v>
      </c>
      <c r="E297">
        <v>14</v>
      </c>
      <c r="F297">
        <v>42</v>
      </c>
      <c r="G297">
        <v>217</v>
      </c>
      <c r="H297" s="10">
        <v>1352.74</v>
      </c>
      <c r="I297">
        <v>0</v>
      </c>
      <c r="J297" t="s">
        <v>13</v>
      </c>
      <c r="K297" t="s">
        <v>18</v>
      </c>
      <c r="L297" t="s">
        <v>10</v>
      </c>
      <c r="M297" t="s">
        <v>83</v>
      </c>
    </row>
    <row r="298" spans="1:13" x14ac:dyDescent="0.25">
      <c r="A298" s="9">
        <v>45954</v>
      </c>
      <c r="B298">
        <v>2025</v>
      </c>
      <c r="C298" t="s">
        <v>100</v>
      </c>
      <c r="D298">
        <v>1664</v>
      </c>
      <c r="E298">
        <v>26</v>
      </c>
      <c r="F298">
        <v>-3</v>
      </c>
      <c r="G298">
        <v>449</v>
      </c>
      <c r="H298" s="10">
        <v>1388.01</v>
      </c>
      <c r="I298">
        <v>0</v>
      </c>
      <c r="J298" t="s">
        <v>3</v>
      </c>
      <c r="K298" t="s">
        <v>18</v>
      </c>
      <c r="L298" t="s">
        <v>10</v>
      </c>
      <c r="M298" t="s">
        <v>83</v>
      </c>
    </row>
    <row r="299" spans="1:13" x14ac:dyDescent="0.25">
      <c r="A299" s="9">
        <v>45955</v>
      </c>
      <c r="B299">
        <v>2025</v>
      </c>
      <c r="C299" t="s">
        <v>100</v>
      </c>
      <c r="D299">
        <v>1731</v>
      </c>
      <c r="E299">
        <v>28</v>
      </c>
      <c r="F299">
        <v>40</v>
      </c>
      <c r="G299">
        <v>85</v>
      </c>
      <c r="H299" s="10">
        <v>2238.3200000000002</v>
      </c>
      <c r="I299">
        <v>0</v>
      </c>
      <c r="J299" t="s">
        <v>13</v>
      </c>
      <c r="K299" t="s">
        <v>18</v>
      </c>
      <c r="L299" t="s">
        <v>7</v>
      </c>
      <c r="M299" t="s">
        <v>83</v>
      </c>
    </row>
    <row r="300" spans="1:13" x14ac:dyDescent="0.25">
      <c r="A300" s="9">
        <v>45956</v>
      </c>
      <c r="B300">
        <v>2025</v>
      </c>
      <c r="C300" t="s">
        <v>100</v>
      </c>
      <c r="D300">
        <v>1685</v>
      </c>
      <c r="E300">
        <v>38</v>
      </c>
      <c r="F300">
        <v>44</v>
      </c>
      <c r="G300">
        <v>187</v>
      </c>
      <c r="H300" s="10">
        <v>648.15</v>
      </c>
      <c r="I300">
        <v>0</v>
      </c>
      <c r="J300" t="s">
        <v>13</v>
      </c>
      <c r="K300" t="s">
        <v>18</v>
      </c>
      <c r="L300" t="s">
        <v>1</v>
      </c>
      <c r="M300" t="s">
        <v>83</v>
      </c>
    </row>
    <row r="301" spans="1:13" x14ac:dyDescent="0.25">
      <c r="A301" s="9">
        <v>45957</v>
      </c>
      <c r="B301">
        <v>2025</v>
      </c>
      <c r="C301" t="s">
        <v>100</v>
      </c>
      <c r="D301">
        <v>1452</v>
      </c>
      <c r="E301">
        <v>30</v>
      </c>
      <c r="F301">
        <v>1</v>
      </c>
      <c r="G301">
        <v>99</v>
      </c>
      <c r="H301" s="10">
        <v>1521.94</v>
      </c>
      <c r="I301">
        <v>0</v>
      </c>
      <c r="J301" t="s">
        <v>3</v>
      </c>
      <c r="K301" t="s">
        <v>18</v>
      </c>
      <c r="L301" t="s">
        <v>7</v>
      </c>
      <c r="M301" t="s">
        <v>83</v>
      </c>
    </row>
    <row r="302" spans="1:13" x14ac:dyDescent="0.25">
      <c r="A302" s="9">
        <v>45958</v>
      </c>
      <c r="B302">
        <v>2025</v>
      </c>
      <c r="C302" t="s">
        <v>100</v>
      </c>
      <c r="D302">
        <v>4124</v>
      </c>
      <c r="E302">
        <v>29</v>
      </c>
      <c r="F302">
        <v>49</v>
      </c>
      <c r="G302">
        <v>228</v>
      </c>
      <c r="H302" s="10">
        <v>1557.66</v>
      </c>
      <c r="I302">
        <v>55</v>
      </c>
      <c r="J302" t="s">
        <v>13</v>
      </c>
      <c r="K302" t="s">
        <v>2</v>
      </c>
      <c r="L302" t="s">
        <v>10</v>
      </c>
      <c r="M302" t="s">
        <v>83</v>
      </c>
    </row>
    <row r="303" spans="1:13" x14ac:dyDescent="0.25">
      <c r="A303" s="9">
        <v>45959</v>
      </c>
      <c r="B303">
        <v>2025</v>
      </c>
      <c r="C303" t="s">
        <v>100</v>
      </c>
      <c r="D303">
        <v>4908</v>
      </c>
      <c r="E303">
        <v>17</v>
      </c>
      <c r="F303">
        <v>40</v>
      </c>
      <c r="G303">
        <v>134</v>
      </c>
      <c r="H303" s="10">
        <v>80.69</v>
      </c>
      <c r="I303">
        <v>0</v>
      </c>
      <c r="J303" t="s">
        <v>3</v>
      </c>
      <c r="K303" t="s">
        <v>18</v>
      </c>
      <c r="L303" t="s">
        <v>7</v>
      </c>
      <c r="M303" t="s">
        <v>83</v>
      </c>
    </row>
    <row r="304" spans="1:13" x14ac:dyDescent="0.25">
      <c r="A304" s="9">
        <v>45960</v>
      </c>
      <c r="B304">
        <v>2025</v>
      </c>
      <c r="C304" t="s">
        <v>100</v>
      </c>
      <c r="D304">
        <v>4578</v>
      </c>
      <c r="E304">
        <v>42</v>
      </c>
      <c r="F304">
        <v>8</v>
      </c>
      <c r="G304">
        <v>37</v>
      </c>
      <c r="H304" s="10">
        <v>2309.29</v>
      </c>
      <c r="I304">
        <v>0</v>
      </c>
      <c r="J304" t="s">
        <v>13</v>
      </c>
      <c r="K304" t="s">
        <v>18</v>
      </c>
      <c r="L304" t="s">
        <v>7</v>
      </c>
      <c r="M304" t="s">
        <v>83</v>
      </c>
    </row>
    <row r="305" spans="1:13" x14ac:dyDescent="0.25">
      <c r="A305" s="9">
        <v>45961</v>
      </c>
      <c r="B305">
        <v>2025</v>
      </c>
      <c r="C305" t="s">
        <v>100</v>
      </c>
      <c r="D305">
        <v>3709</v>
      </c>
      <c r="E305">
        <v>37</v>
      </c>
      <c r="F305">
        <v>28</v>
      </c>
      <c r="G305">
        <v>328</v>
      </c>
      <c r="H305" s="10">
        <v>715.95</v>
      </c>
      <c r="I305">
        <v>0</v>
      </c>
      <c r="J305" t="s">
        <v>3</v>
      </c>
      <c r="K305" t="s">
        <v>18</v>
      </c>
      <c r="L305" t="s">
        <v>10</v>
      </c>
      <c r="M305" t="s">
        <v>83</v>
      </c>
    </row>
    <row r="306" spans="1:13" x14ac:dyDescent="0.25">
      <c r="A306" s="9">
        <v>45962</v>
      </c>
      <c r="B306">
        <v>2025</v>
      </c>
      <c r="C306" t="s">
        <v>68</v>
      </c>
      <c r="D306">
        <v>1828</v>
      </c>
      <c r="E306">
        <v>28</v>
      </c>
      <c r="F306">
        <v>25</v>
      </c>
      <c r="G306">
        <v>243</v>
      </c>
      <c r="H306" s="10">
        <v>1218.3499999999999</v>
      </c>
      <c r="I306">
        <v>0</v>
      </c>
      <c r="J306" t="s">
        <v>3</v>
      </c>
      <c r="K306" t="s">
        <v>18</v>
      </c>
      <c r="L306" t="s">
        <v>7</v>
      </c>
      <c r="M306" t="s">
        <v>83</v>
      </c>
    </row>
    <row r="307" spans="1:13" x14ac:dyDescent="0.25">
      <c r="A307" s="9">
        <v>45963</v>
      </c>
      <c r="B307">
        <v>2025</v>
      </c>
      <c r="C307" t="s">
        <v>68</v>
      </c>
      <c r="D307">
        <v>2822</v>
      </c>
      <c r="E307">
        <v>8</v>
      </c>
      <c r="F307">
        <v>38</v>
      </c>
      <c r="G307">
        <v>223</v>
      </c>
      <c r="H307" s="10">
        <v>552.84</v>
      </c>
      <c r="I307">
        <v>0</v>
      </c>
      <c r="J307" t="s">
        <v>13</v>
      </c>
      <c r="K307" t="s">
        <v>18</v>
      </c>
      <c r="L307" t="s">
        <v>10</v>
      </c>
      <c r="M307" t="s">
        <v>83</v>
      </c>
    </row>
    <row r="308" spans="1:13" x14ac:dyDescent="0.25">
      <c r="A308" s="9">
        <v>45964</v>
      </c>
      <c r="B308">
        <v>2025</v>
      </c>
      <c r="C308" t="s">
        <v>68</v>
      </c>
      <c r="D308">
        <v>931</v>
      </c>
      <c r="E308">
        <v>24</v>
      </c>
      <c r="F308">
        <v>40</v>
      </c>
      <c r="G308">
        <v>218</v>
      </c>
      <c r="H308" s="10">
        <v>813.77</v>
      </c>
      <c r="I308">
        <v>0</v>
      </c>
      <c r="J308" t="s">
        <v>3</v>
      </c>
      <c r="K308" t="s">
        <v>18</v>
      </c>
      <c r="L308" t="s">
        <v>10</v>
      </c>
      <c r="M308" t="s">
        <v>83</v>
      </c>
    </row>
    <row r="309" spans="1:13" x14ac:dyDescent="0.25">
      <c r="A309" s="9">
        <v>45965</v>
      </c>
      <c r="B309">
        <v>2025</v>
      </c>
      <c r="C309" t="s">
        <v>68</v>
      </c>
      <c r="D309">
        <v>4016</v>
      </c>
      <c r="E309">
        <v>3</v>
      </c>
      <c r="F309">
        <v>10</v>
      </c>
      <c r="G309">
        <v>49</v>
      </c>
      <c r="H309" s="10">
        <v>2192.9</v>
      </c>
      <c r="I309">
        <v>0</v>
      </c>
      <c r="J309" t="s">
        <v>13</v>
      </c>
      <c r="K309" t="s">
        <v>11</v>
      </c>
      <c r="L309" t="s">
        <v>10</v>
      </c>
      <c r="M309" t="s">
        <v>83</v>
      </c>
    </row>
    <row r="310" spans="1:13" x14ac:dyDescent="0.25">
      <c r="A310" s="9">
        <v>45966</v>
      </c>
      <c r="B310">
        <v>2025</v>
      </c>
      <c r="C310" t="s">
        <v>68</v>
      </c>
      <c r="D310">
        <v>1139</v>
      </c>
      <c r="E310">
        <v>9</v>
      </c>
      <c r="F310">
        <v>36</v>
      </c>
      <c r="G310">
        <v>250</v>
      </c>
      <c r="H310" s="10">
        <v>1842.34</v>
      </c>
      <c r="I310">
        <v>0</v>
      </c>
      <c r="J310" t="s">
        <v>13</v>
      </c>
      <c r="K310" t="s">
        <v>18</v>
      </c>
      <c r="L310" t="s">
        <v>10</v>
      </c>
      <c r="M310" t="s">
        <v>83</v>
      </c>
    </row>
    <row r="311" spans="1:13" x14ac:dyDescent="0.25">
      <c r="A311" s="9">
        <v>45967</v>
      </c>
      <c r="B311">
        <v>2025</v>
      </c>
      <c r="C311" t="s">
        <v>68</v>
      </c>
      <c r="D311">
        <v>2730</v>
      </c>
      <c r="E311">
        <v>23</v>
      </c>
      <c r="F311">
        <v>28</v>
      </c>
      <c r="G311">
        <v>153</v>
      </c>
      <c r="H311" s="10">
        <v>795.37</v>
      </c>
      <c r="I311">
        <v>0</v>
      </c>
      <c r="J311" t="s">
        <v>13</v>
      </c>
      <c r="K311" t="s">
        <v>18</v>
      </c>
      <c r="L311" t="s">
        <v>21</v>
      </c>
      <c r="M311" t="s">
        <v>83</v>
      </c>
    </row>
    <row r="312" spans="1:13" x14ac:dyDescent="0.25">
      <c r="A312" s="9">
        <v>45968</v>
      </c>
      <c r="B312">
        <v>2025</v>
      </c>
      <c r="C312" t="s">
        <v>68</v>
      </c>
      <c r="D312">
        <v>2025</v>
      </c>
      <c r="E312">
        <v>9</v>
      </c>
      <c r="F312">
        <v>22</v>
      </c>
      <c r="G312">
        <v>84</v>
      </c>
      <c r="H312" s="10">
        <v>1660.39</v>
      </c>
      <c r="I312">
        <v>0</v>
      </c>
      <c r="J312" t="s">
        <v>13</v>
      </c>
      <c r="K312" t="s">
        <v>18</v>
      </c>
      <c r="L312" t="s">
        <v>21</v>
      </c>
      <c r="M312" t="s">
        <v>83</v>
      </c>
    </row>
    <row r="313" spans="1:13" x14ac:dyDescent="0.25">
      <c r="A313" s="9">
        <v>45969</v>
      </c>
      <c r="B313">
        <v>2025</v>
      </c>
      <c r="C313" t="s">
        <v>68</v>
      </c>
      <c r="D313">
        <v>2166</v>
      </c>
      <c r="E313">
        <v>27</v>
      </c>
      <c r="F313">
        <v>29</v>
      </c>
      <c r="G313">
        <v>397</v>
      </c>
      <c r="H313" s="10">
        <v>28.07</v>
      </c>
      <c r="I313">
        <v>0</v>
      </c>
      <c r="J313" t="s">
        <v>13</v>
      </c>
      <c r="K313" t="s">
        <v>18</v>
      </c>
      <c r="L313" t="s">
        <v>10</v>
      </c>
      <c r="M313" t="s">
        <v>83</v>
      </c>
    </row>
    <row r="314" spans="1:13" x14ac:dyDescent="0.25">
      <c r="A314" s="9">
        <v>45970</v>
      </c>
      <c r="B314">
        <v>2025</v>
      </c>
      <c r="C314" t="s">
        <v>68</v>
      </c>
      <c r="D314">
        <v>2749</v>
      </c>
      <c r="E314">
        <v>15</v>
      </c>
      <c r="F314">
        <v>32</v>
      </c>
      <c r="G314">
        <v>362</v>
      </c>
      <c r="H314" s="10">
        <v>2213.46</v>
      </c>
      <c r="I314">
        <v>0</v>
      </c>
      <c r="J314" t="s">
        <v>13</v>
      </c>
      <c r="K314" t="s">
        <v>18</v>
      </c>
      <c r="L314" t="s">
        <v>7</v>
      </c>
      <c r="M314" t="s">
        <v>83</v>
      </c>
    </row>
    <row r="315" spans="1:13" x14ac:dyDescent="0.25">
      <c r="A315" s="9">
        <v>45971</v>
      </c>
      <c r="B315">
        <v>2025</v>
      </c>
      <c r="C315" t="s">
        <v>68</v>
      </c>
      <c r="D315">
        <v>3400</v>
      </c>
      <c r="E315">
        <v>24</v>
      </c>
      <c r="F315">
        <v>43</v>
      </c>
      <c r="G315">
        <v>67</v>
      </c>
      <c r="H315" s="10">
        <v>1822.1</v>
      </c>
      <c r="I315">
        <v>0</v>
      </c>
      <c r="J315" t="s">
        <v>3</v>
      </c>
      <c r="K315" t="s">
        <v>18</v>
      </c>
      <c r="L315" t="s">
        <v>10</v>
      </c>
      <c r="M315" t="s">
        <v>83</v>
      </c>
    </row>
    <row r="316" spans="1:13" x14ac:dyDescent="0.25">
      <c r="A316" s="9">
        <v>45972</v>
      </c>
      <c r="B316">
        <v>2025</v>
      </c>
      <c r="C316" t="s">
        <v>68</v>
      </c>
      <c r="D316">
        <v>2351</v>
      </c>
      <c r="E316">
        <v>45</v>
      </c>
      <c r="F316">
        <v>-1</v>
      </c>
      <c r="G316">
        <v>362</v>
      </c>
      <c r="H316" s="10">
        <v>835.38</v>
      </c>
      <c r="I316">
        <v>0</v>
      </c>
      <c r="J316" t="s">
        <v>3</v>
      </c>
      <c r="K316" t="s">
        <v>18</v>
      </c>
      <c r="L316" t="s">
        <v>1</v>
      </c>
      <c r="M316" t="s">
        <v>83</v>
      </c>
    </row>
    <row r="317" spans="1:13" x14ac:dyDescent="0.25">
      <c r="A317" s="9">
        <v>45973</v>
      </c>
      <c r="B317">
        <v>2025</v>
      </c>
      <c r="C317" t="s">
        <v>68</v>
      </c>
      <c r="D317">
        <v>4348</v>
      </c>
      <c r="E317">
        <v>27</v>
      </c>
      <c r="F317">
        <v>4</v>
      </c>
      <c r="G317">
        <v>118</v>
      </c>
      <c r="H317" s="10">
        <v>1464.83</v>
      </c>
      <c r="I317">
        <v>0</v>
      </c>
      <c r="J317" t="s">
        <v>13</v>
      </c>
      <c r="K317" t="s">
        <v>18</v>
      </c>
      <c r="L317" t="s">
        <v>21</v>
      </c>
      <c r="M317" t="s">
        <v>83</v>
      </c>
    </row>
    <row r="318" spans="1:13" x14ac:dyDescent="0.25">
      <c r="A318" s="9">
        <v>45974</v>
      </c>
      <c r="B318">
        <v>2025</v>
      </c>
      <c r="C318" t="s">
        <v>68</v>
      </c>
      <c r="D318">
        <v>2118</v>
      </c>
      <c r="E318">
        <v>36</v>
      </c>
      <c r="F318">
        <v>26</v>
      </c>
      <c r="G318">
        <v>134</v>
      </c>
      <c r="H318" s="10">
        <v>27.52</v>
      </c>
      <c r="I318">
        <v>0</v>
      </c>
      <c r="J318" t="s">
        <v>13</v>
      </c>
      <c r="K318" t="s">
        <v>2</v>
      </c>
      <c r="L318" t="s">
        <v>17</v>
      </c>
      <c r="M318" t="s">
        <v>83</v>
      </c>
    </row>
    <row r="319" spans="1:13" x14ac:dyDescent="0.25">
      <c r="A319" s="9">
        <v>45975</v>
      </c>
      <c r="B319">
        <v>2025</v>
      </c>
      <c r="C319" t="s">
        <v>68</v>
      </c>
      <c r="D319">
        <v>4857</v>
      </c>
      <c r="E319">
        <v>42</v>
      </c>
      <c r="F319">
        <v>22</v>
      </c>
      <c r="G319">
        <v>45</v>
      </c>
      <c r="H319" s="10">
        <v>490.45</v>
      </c>
      <c r="I319">
        <v>0</v>
      </c>
      <c r="J319" t="s">
        <v>3</v>
      </c>
      <c r="K319" t="s">
        <v>18</v>
      </c>
      <c r="L319" t="s">
        <v>7</v>
      </c>
      <c r="M319" t="s">
        <v>83</v>
      </c>
    </row>
    <row r="320" spans="1:13" x14ac:dyDescent="0.25">
      <c r="A320" s="9">
        <v>45976</v>
      </c>
      <c r="B320">
        <v>2025</v>
      </c>
      <c r="C320" t="s">
        <v>68</v>
      </c>
      <c r="D320">
        <v>2234</v>
      </c>
      <c r="E320">
        <v>8</v>
      </c>
      <c r="F320">
        <v>32</v>
      </c>
      <c r="G320">
        <v>112</v>
      </c>
      <c r="H320" s="10">
        <v>2345.1</v>
      </c>
      <c r="I320">
        <v>0</v>
      </c>
      <c r="J320" t="s">
        <v>13</v>
      </c>
      <c r="K320" t="s">
        <v>18</v>
      </c>
      <c r="L320" t="s">
        <v>17</v>
      </c>
      <c r="M320" t="s">
        <v>83</v>
      </c>
    </row>
    <row r="321" spans="1:13" x14ac:dyDescent="0.25">
      <c r="A321" s="9">
        <v>45977</v>
      </c>
      <c r="B321">
        <v>2025</v>
      </c>
      <c r="C321" t="s">
        <v>68</v>
      </c>
      <c r="D321">
        <v>2460</v>
      </c>
      <c r="E321">
        <v>11</v>
      </c>
      <c r="F321">
        <v>44</v>
      </c>
      <c r="G321">
        <v>346</v>
      </c>
      <c r="H321" s="10">
        <v>1740.99</v>
      </c>
      <c r="I321">
        <v>0</v>
      </c>
      <c r="J321" t="s">
        <v>13</v>
      </c>
      <c r="K321" t="s">
        <v>18</v>
      </c>
      <c r="L321" t="s">
        <v>21</v>
      </c>
      <c r="M321" t="s">
        <v>83</v>
      </c>
    </row>
    <row r="322" spans="1:13" x14ac:dyDescent="0.25">
      <c r="A322" s="9">
        <v>45978</v>
      </c>
      <c r="B322">
        <v>2025</v>
      </c>
      <c r="C322" t="s">
        <v>68</v>
      </c>
      <c r="D322">
        <v>1961</v>
      </c>
      <c r="E322">
        <v>24</v>
      </c>
      <c r="F322">
        <v>29</v>
      </c>
      <c r="G322">
        <v>263</v>
      </c>
      <c r="H322" s="10">
        <v>1667.92</v>
      </c>
      <c r="I322">
        <v>55</v>
      </c>
      <c r="J322" t="s">
        <v>13</v>
      </c>
      <c r="K322" t="s">
        <v>2</v>
      </c>
      <c r="L322" t="s">
        <v>1</v>
      </c>
      <c r="M322" t="s">
        <v>51</v>
      </c>
    </row>
    <row r="323" spans="1:13" x14ac:dyDescent="0.25">
      <c r="A323" s="9">
        <v>45979</v>
      </c>
      <c r="B323">
        <v>2025</v>
      </c>
      <c r="C323" t="s">
        <v>68</v>
      </c>
      <c r="D323">
        <v>1143</v>
      </c>
      <c r="E323">
        <v>9</v>
      </c>
      <c r="F323">
        <v>45</v>
      </c>
      <c r="G323">
        <v>274</v>
      </c>
      <c r="H323" s="10">
        <v>105.55</v>
      </c>
      <c r="I323">
        <v>0</v>
      </c>
      <c r="J323" t="s">
        <v>3</v>
      </c>
      <c r="K323" t="s">
        <v>11</v>
      </c>
      <c r="L323" t="s">
        <v>7</v>
      </c>
      <c r="M323" t="s">
        <v>51</v>
      </c>
    </row>
    <row r="324" spans="1:13" x14ac:dyDescent="0.25">
      <c r="A324" s="9">
        <v>45980</v>
      </c>
      <c r="B324">
        <v>2025</v>
      </c>
      <c r="C324" t="s">
        <v>68</v>
      </c>
      <c r="D324">
        <v>2911</v>
      </c>
      <c r="E324">
        <v>36</v>
      </c>
      <c r="F324">
        <v>23</v>
      </c>
      <c r="G324">
        <v>149</v>
      </c>
      <c r="H324" s="10">
        <v>2341.0100000000002</v>
      </c>
      <c r="I324">
        <v>0</v>
      </c>
      <c r="J324" t="s">
        <v>13</v>
      </c>
      <c r="K324" t="s">
        <v>18</v>
      </c>
      <c r="L324" t="s">
        <v>10</v>
      </c>
      <c r="M324" t="s">
        <v>51</v>
      </c>
    </row>
    <row r="325" spans="1:13" x14ac:dyDescent="0.25">
      <c r="A325" s="9">
        <v>45981</v>
      </c>
      <c r="B325">
        <v>2025</v>
      </c>
      <c r="C325" t="s">
        <v>68</v>
      </c>
      <c r="D325">
        <v>3715</v>
      </c>
      <c r="E325">
        <v>22</v>
      </c>
      <c r="F325">
        <v>30</v>
      </c>
      <c r="G325">
        <v>349</v>
      </c>
      <c r="H325" s="10">
        <v>2487.75</v>
      </c>
      <c r="I325">
        <v>0</v>
      </c>
      <c r="J325" t="s">
        <v>3</v>
      </c>
      <c r="K325" t="s">
        <v>18</v>
      </c>
      <c r="L325" t="s">
        <v>7</v>
      </c>
      <c r="M325" t="s">
        <v>51</v>
      </c>
    </row>
    <row r="326" spans="1:13" x14ac:dyDescent="0.25">
      <c r="A326" s="9">
        <v>45982</v>
      </c>
      <c r="B326">
        <v>2025</v>
      </c>
      <c r="C326" t="s">
        <v>68</v>
      </c>
      <c r="D326">
        <v>4591</v>
      </c>
      <c r="E326">
        <v>20</v>
      </c>
      <c r="F326">
        <v>-3</v>
      </c>
      <c r="G326">
        <v>431</v>
      </c>
      <c r="H326" s="10">
        <v>792.39</v>
      </c>
      <c r="I326">
        <v>0</v>
      </c>
      <c r="J326" t="s">
        <v>3</v>
      </c>
      <c r="K326" t="s">
        <v>18</v>
      </c>
      <c r="L326" t="s">
        <v>1</v>
      </c>
      <c r="M326" t="s">
        <v>51</v>
      </c>
    </row>
    <row r="327" spans="1:13" x14ac:dyDescent="0.25">
      <c r="A327" s="9">
        <v>45983</v>
      </c>
      <c r="B327">
        <v>2025</v>
      </c>
      <c r="C327" t="s">
        <v>68</v>
      </c>
      <c r="D327">
        <v>3370</v>
      </c>
      <c r="E327">
        <v>6</v>
      </c>
      <c r="F327">
        <v>48</v>
      </c>
      <c r="G327">
        <v>404</v>
      </c>
      <c r="H327" s="10">
        <v>2089.08</v>
      </c>
      <c r="I327">
        <v>0</v>
      </c>
      <c r="J327" t="s">
        <v>13</v>
      </c>
      <c r="K327" t="s">
        <v>2</v>
      </c>
      <c r="L327" t="s">
        <v>1</v>
      </c>
      <c r="M327" t="s">
        <v>51</v>
      </c>
    </row>
    <row r="328" spans="1:13" x14ac:dyDescent="0.25">
      <c r="A328" s="9">
        <v>45984</v>
      </c>
      <c r="B328">
        <v>2025</v>
      </c>
      <c r="C328" t="s">
        <v>68</v>
      </c>
      <c r="D328">
        <v>2576</v>
      </c>
      <c r="E328">
        <v>20</v>
      </c>
      <c r="F328">
        <v>28</v>
      </c>
      <c r="G328">
        <v>214</v>
      </c>
      <c r="H328" s="10">
        <v>1316.01</v>
      </c>
      <c r="I328">
        <v>0</v>
      </c>
      <c r="J328" t="s">
        <v>13</v>
      </c>
      <c r="K328" t="s">
        <v>11</v>
      </c>
      <c r="L328" t="s">
        <v>10</v>
      </c>
      <c r="M328" t="s">
        <v>51</v>
      </c>
    </row>
    <row r="329" spans="1:13" x14ac:dyDescent="0.25">
      <c r="A329" s="9">
        <v>45985</v>
      </c>
      <c r="B329">
        <v>2025</v>
      </c>
      <c r="C329" t="s">
        <v>68</v>
      </c>
      <c r="D329">
        <v>1416</v>
      </c>
      <c r="E329">
        <v>15</v>
      </c>
      <c r="F329">
        <v>21</v>
      </c>
      <c r="G329">
        <v>272</v>
      </c>
      <c r="H329" s="10">
        <v>790.99</v>
      </c>
      <c r="I329">
        <v>0</v>
      </c>
      <c r="J329" t="s">
        <v>13</v>
      </c>
      <c r="K329" t="s">
        <v>18</v>
      </c>
      <c r="L329" t="s">
        <v>10</v>
      </c>
      <c r="M329" t="s">
        <v>51</v>
      </c>
    </row>
    <row r="330" spans="1:13" x14ac:dyDescent="0.25">
      <c r="A330" s="9">
        <v>45986</v>
      </c>
      <c r="B330">
        <v>2025</v>
      </c>
      <c r="C330" t="s">
        <v>68</v>
      </c>
      <c r="D330">
        <v>3790</v>
      </c>
      <c r="E330">
        <v>29</v>
      </c>
      <c r="F330">
        <v>23</v>
      </c>
      <c r="G330">
        <v>405</v>
      </c>
      <c r="H330" s="10">
        <v>1941.82</v>
      </c>
      <c r="I330">
        <v>0</v>
      </c>
      <c r="J330" t="s">
        <v>13</v>
      </c>
      <c r="K330" t="s">
        <v>18</v>
      </c>
      <c r="L330" t="s">
        <v>10</v>
      </c>
      <c r="M330" t="s">
        <v>51</v>
      </c>
    </row>
    <row r="331" spans="1:13" x14ac:dyDescent="0.25">
      <c r="A331" s="9">
        <v>45987</v>
      </c>
      <c r="B331">
        <v>2025</v>
      </c>
      <c r="C331" t="s">
        <v>68</v>
      </c>
      <c r="D331">
        <v>1375</v>
      </c>
      <c r="E331">
        <v>25</v>
      </c>
      <c r="F331">
        <v>11</v>
      </c>
      <c r="G331">
        <v>218</v>
      </c>
      <c r="H331" s="10">
        <v>2476.16</v>
      </c>
      <c r="I331">
        <v>0</v>
      </c>
      <c r="J331" t="s">
        <v>13</v>
      </c>
      <c r="K331" t="s">
        <v>18</v>
      </c>
      <c r="L331" t="s">
        <v>10</v>
      </c>
      <c r="M331" t="s">
        <v>51</v>
      </c>
    </row>
    <row r="332" spans="1:13" x14ac:dyDescent="0.25">
      <c r="A332" s="9">
        <v>45988</v>
      </c>
      <c r="B332">
        <v>2025</v>
      </c>
      <c r="C332" t="s">
        <v>68</v>
      </c>
      <c r="D332">
        <v>2563</v>
      </c>
      <c r="E332">
        <v>38</v>
      </c>
      <c r="F332">
        <v>39</v>
      </c>
      <c r="G332">
        <v>228</v>
      </c>
      <c r="H332" s="10">
        <v>643.01</v>
      </c>
      <c r="I332">
        <v>0</v>
      </c>
      <c r="J332" t="s">
        <v>13</v>
      </c>
      <c r="K332" t="s">
        <v>18</v>
      </c>
      <c r="L332" t="s">
        <v>10</v>
      </c>
      <c r="M332" t="s">
        <v>51</v>
      </c>
    </row>
    <row r="333" spans="1:13" x14ac:dyDescent="0.25">
      <c r="A333" s="9">
        <v>45989</v>
      </c>
      <c r="B333">
        <v>2025</v>
      </c>
      <c r="C333" t="s">
        <v>68</v>
      </c>
      <c r="D333">
        <v>2583</v>
      </c>
      <c r="E333">
        <v>37</v>
      </c>
      <c r="F333">
        <v>23</v>
      </c>
      <c r="G333">
        <v>418</v>
      </c>
      <c r="H333" s="10">
        <v>1963.62</v>
      </c>
      <c r="I333">
        <v>0</v>
      </c>
      <c r="J333" t="s">
        <v>3</v>
      </c>
      <c r="K333" t="s">
        <v>18</v>
      </c>
      <c r="L333" t="s">
        <v>10</v>
      </c>
      <c r="M333" t="s">
        <v>51</v>
      </c>
    </row>
    <row r="334" spans="1:13" x14ac:dyDescent="0.25">
      <c r="A334" s="9">
        <v>45990</v>
      </c>
      <c r="B334">
        <v>2025</v>
      </c>
      <c r="C334" t="s">
        <v>68</v>
      </c>
      <c r="D334">
        <v>3521</v>
      </c>
      <c r="E334">
        <v>36</v>
      </c>
      <c r="F334">
        <v>6</v>
      </c>
      <c r="G334">
        <v>361</v>
      </c>
      <c r="H334" s="10">
        <v>580</v>
      </c>
      <c r="I334">
        <v>0</v>
      </c>
      <c r="J334" t="s">
        <v>13</v>
      </c>
      <c r="K334" t="s">
        <v>18</v>
      </c>
      <c r="L334" t="s">
        <v>15</v>
      </c>
      <c r="M334" t="s">
        <v>51</v>
      </c>
    </row>
    <row r="335" spans="1:13" x14ac:dyDescent="0.25">
      <c r="A335" s="9">
        <v>45991</v>
      </c>
      <c r="B335">
        <v>2025</v>
      </c>
      <c r="C335" t="s">
        <v>68</v>
      </c>
      <c r="D335">
        <v>1164</v>
      </c>
      <c r="E335">
        <v>16</v>
      </c>
      <c r="F335">
        <v>36</v>
      </c>
      <c r="G335">
        <v>333</v>
      </c>
      <c r="H335" s="10">
        <v>1504.88</v>
      </c>
      <c r="I335">
        <v>55</v>
      </c>
      <c r="J335" t="s">
        <v>13</v>
      </c>
      <c r="K335" t="s">
        <v>8</v>
      </c>
      <c r="L335" t="s">
        <v>1</v>
      </c>
      <c r="M335" t="s">
        <v>51</v>
      </c>
    </row>
    <row r="336" spans="1:13" x14ac:dyDescent="0.25">
      <c r="A336" s="9">
        <v>45992</v>
      </c>
      <c r="B336">
        <v>2025</v>
      </c>
      <c r="C336" t="s">
        <v>35</v>
      </c>
      <c r="D336">
        <v>4764</v>
      </c>
      <c r="E336">
        <v>37</v>
      </c>
      <c r="F336">
        <v>46</v>
      </c>
      <c r="G336">
        <v>300</v>
      </c>
      <c r="H336" s="10">
        <v>313.7</v>
      </c>
      <c r="I336">
        <v>0</v>
      </c>
      <c r="J336" t="s">
        <v>13</v>
      </c>
      <c r="K336" t="s">
        <v>18</v>
      </c>
      <c r="L336" t="s">
        <v>10</v>
      </c>
      <c r="M336" t="s">
        <v>51</v>
      </c>
    </row>
    <row r="337" spans="1:13" x14ac:dyDescent="0.25">
      <c r="A337" s="9">
        <v>45993</v>
      </c>
      <c r="B337">
        <v>2025</v>
      </c>
      <c r="C337" t="s">
        <v>35</v>
      </c>
      <c r="D337">
        <v>1509</v>
      </c>
      <c r="E337">
        <v>37</v>
      </c>
      <c r="F337">
        <v>11</v>
      </c>
      <c r="G337">
        <v>133</v>
      </c>
      <c r="H337" s="10">
        <v>861.44</v>
      </c>
      <c r="I337">
        <v>0</v>
      </c>
      <c r="J337" t="s">
        <v>13</v>
      </c>
      <c r="K337" t="s">
        <v>18</v>
      </c>
      <c r="L337" t="s">
        <v>7</v>
      </c>
      <c r="M337" t="s">
        <v>51</v>
      </c>
    </row>
    <row r="338" spans="1:13" x14ac:dyDescent="0.25">
      <c r="A338" s="9">
        <v>45994</v>
      </c>
      <c r="B338">
        <v>2025</v>
      </c>
      <c r="C338" t="s">
        <v>35</v>
      </c>
      <c r="D338">
        <v>3238</v>
      </c>
      <c r="E338">
        <v>9</v>
      </c>
      <c r="F338">
        <v>2</v>
      </c>
      <c r="G338">
        <v>292</v>
      </c>
      <c r="H338" s="10">
        <v>858.16</v>
      </c>
      <c r="I338">
        <v>55</v>
      </c>
      <c r="J338" t="s">
        <v>13</v>
      </c>
      <c r="K338" t="s">
        <v>2</v>
      </c>
      <c r="L338" t="s">
        <v>1</v>
      </c>
      <c r="M338" t="s">
        <v>51</v>
      </c>
    </row>
    <row r="339" spans="1:13" x14ac:dyDescent="0.25">
      <c r="A339" s="9">
        <v>45995</v>
      </c>
      <c r="B339">
        <v>2025</v>
      </c>
      <c r="C339" t="s">
        <v>35</v>
      </c>
      <c r="D339">
        <v>4860</v>
      </c>
      <c r="E339">
        <v>29</v>
      </c>
      <c r="F339">
        <v>25</v>
      </c>
      <c r="G339">
        <v>317</v>
      </c>
      <c r="H339" s="10">
        <v>757.49</v>
      </c>
      <c r="I339">
        <v>0</v>
      </c>
      <c r="J339" t="s">
        <v>3</v>
      </c>
      <c r="K339" t="s">
        <v>18</v>
      </c>
      <c r="L339" t="s">
        <v>1</v>
      </c>
      <c r="M339" t="s">
        <v>51</v>
      </c>
    </row>
    <row r="340" spans="1:13" x14ac:dyDescent="0.25">
      <c r="A340" s="9">
        <v>45996</v>
      </c>
      <c r="B340">
        <v>2025</v>
      </c>
      <c r="C340" t="s">
        <v>35</v>
      </c>
      <c r="D340">
        <v>1332</v>
      </c>
      <c r="E340">
        <v>7</v>
      </c>
      <c r="F340">
        <v>14</v>
      </c>
      <c r="G340">
        <v>217</v>
      </c>
      <c r="H340" s="10">
        <v>2045.45</v>
      </c>
      <c r="I340">
        <v>0</v>
      </c>
      <c r="J340" t="s">
        <v>3</v>
      </c>
      <c r="K340" t="s">
        <v>18</v>
      </c>
      <c r="L340" t="s">
        <v>10</v>
      </c>
      <c r="M340" t="s">
        <v>51</v>
      </c>
    </row>
    <row r="341" spans="1:13" x14ac:dyDescent="0.25">
      <c r="A341" s="9">
        <v>45997</v>
      </c>
      <c r="B341">
        <v>2025</v>
      </c>
      <c r="C341" t="s">
        <v>35</v>
      </c>
      <c r="D341">
        <v>4845</v>
      </c>
      <c r="E341">
        <v>13</v>
      </c>
      <c r="F341">
        <v>8</v>
      </c>
      <c r="G341">
        <v>100</v>
      </c>
      <c r="H341" s="10">
        <v>542.89</v>
      </c>
      <c r="I341">
        <v>0</v>
      </c>
      <c r="J341" t="s">
        <v>13</v>
      </c>
      <c r="K341" t="s">
        <v>18</v>
      </c>
      <c r="L341" t="s">
        <v>17</v>
      </c>
      <c r="M341" t="s">
        <v>51</v>
      </c>
    </row>
    <row r="342" spans="1:13" x14ac:dyDescent="0.25">
      <c r="A342" s="9">
        <v>45998</v>
      </c>
      <c r="B342">
        <v>2025</v>
      </c>
      <c r="C342" t="s">
        <v>35</v>
      </c>
      <c r="D342">
        <v>1735</v>
      </c>
      <c r="E342">
        <v>44</v>
      </c>
      <c r="F342">
        <v>24</v>
      </c>
      <c r="G342">
        <v>403</v>
      </c>
      <c r="H342" s="10">
        <v>394.21</v>
      </c>
      <c r="I342">
        <v>0</v>
      </c>
      <c r="J342" t="s">
        <v>13</v>
      </c>
      <c r="K342" t="s">
        <v>18</v>
      </c>
      <c r="L342" t="s">
        <v>7</v>
      </c>
      <c r="M342" t="s">
        <v>51</v>
      </c>
    </row>
    <row r="343" spans="1:13" x14ac:dyDescent="0.25">
      <c r="A343" s="9">
        <v>45999</v>
      </c>
      <c r="B343">
        <v>2025</v>
      </c>
      <c r="C343" t="s">
        <v>35</v>
      </c>
      <c r="D343">
        <v>2747</v>
      </c>
      <c r="E343">
        <v>13</v>
      </c>
      <c r="F343">
        <v>15</v>
      </c>
      <c r="G343">
        <v>349</v>
      </c>
      <c r="H343" s="10">
        <v>2072.27</v>
      </c>
      <c r="I343">
        <v>0</v>
      </c>
      <c r="J343" t="s">
        <v>13</v>
      </c>
      <c r="K343" t="s">
        <v>11</v>
      </c>
      <c r="L343" t="s">
        <v>10</v>
      </c>
      <c r="M343" t="s">
        <v>51</v>
      </c>
    </row>
    <row r="344" spans="1:13" x14ac:dyDescent="0.25">
      <c r="A344" s="9">
        <v>46000</v>
      </c>
      <c r="B344">
        <v>2025</v>
      </c>
      <c r="C344" t="s">
        <v>35</v>
      </c>
      <c r="D344">
        <v>1732</v>
      </c>
      <c r="E344">
        <v>36</v>
      </c>
      <c r="F344">
        <v>1</v>
      </c>
      <c r="G344">
        <v>322</v>
      </c>
      <c r="H344" s="10">
        <v>380.52</v>
      </c>
      <c r="I344">
        <v>0</v>
      </c>
      <c r="J344" t="s">
        <v>13</v>
      </c>
      <c r="K344" t="s">
        <v>18</v>
      </c>
      <c r="L344" t="s">
        <v>10</v>
      </c>
      <c r="M344" t="s">
        <v>51</v>
      </c>
    </row>
    <row r="345" spans="1:13" x14ac:dyDescent="0.25">
      <c r="A345" s="9">
        <v>46001</v>
      </c>
      <c r="B345">
        <v>2025</v>
      </c>
      <c r="C345" t="s">
        <v>35</v>
      </c>
      <c r="D345">
        <v>3708</v>
      </c>
      <c r="E345">
        <v>9</v>
      </c>
      <c r="F345">
        <v>50</v>
      </c>
      <c r="G345">
        <v>113</v>
      </c>
      <c r="H345" s="10">
        <v>2385.5500000000002</v>
      </c>
      <c r="I345">
        <v>0</v>
      </c>
      <c r="J345" t="s">
        <v>3</v>
      </c>
      <c r="K345" t="s">
        <v>18</v>
      </c>
      <c r="L345" t="s">
        <v>1</v>
      </c>
      <c r="M345" t="s">
        <v>51</v>
      </c>
    </row>
    <row r="346" spans="1:13" x14ac:dyDescent="0.25">
      <c r="A346" s="9">
        <v>46002</v>
      </c>
      <c r="B346">
        <v>2025</v>
      </c>
      <c r="C346" t="s">
        <v>35</v>
      </c>
      <c r="D346">
        <v>4442</v>
      </c>
      <c r="E346">
        <v>18</v>
      </c>
      <c r="F346">
        <v>46</v>
      </c>
      <c r="G346">
        <v>29</v>
      </c>
      <c r="H346" s="10">
        <v>305.31</v>
      </c>
      <c r="I346">
        <v>0</v>
      </c>
      <c r="J346" t="s">
        <v>13</v>
      </c>
      <c r="K346" t="s">
        <v>18</v>
      </c>
      <c r="L346" t="s">
        <v>17</v>
      </c>
      <c r="M346" t="s">
        <v>51</v>
      </c>
    </row>
    <row r="347" spans="1:13" x14ac:dyDescent="0.25">
      <c r="A347" s="9">
        <v>46003</v>
      </c>
      <c r="B347">
        <v>2025</v>
      </c>
      <c r="C347" t="s">
        <v>35</v>
      </c>
      <c r="D347">
        <v>4370</v>
      </c>
      <c r="E347">
        <v>38</v>
      </c>
      <c r="F347">
        <v>21</v>
      </c>
      <c r="G347">
        <v>241</v>
      </c>
      <c r="H347" s="10">
        <v>11.22</v>
      </c>
      <c r="I347">
        <v>0</v>
      </c>
      <c r="J347" t="s">
        <v>13</v>
      </c>
      <c r="K347" t="s">
        <v>18</v>
      </c>
      <c r="L347" t="s">
        <v>10</v>
      </c>
      <c r="M347" t="s">
        <v>51</v>
      </c>
    </row>
    <row r="348" spans="1:13" x14ac:dyDescent="0.25">
      <c r="A348" s="9">
        <v>46004</v>
      </c>
      <c r="B348">
        <v>2025</v>
      </c>
      <c r="C348" t="s">
        <v>35</v>
      </c>
      <c r="D348">
        <v>4231</v>
      </c>
      <c r="E348">
        <v>45</v>
      </c>
      <c r="F348">
        <v>2</v>
      </c>
      <c r="G348">
        <v>233</v>
      </c>
      <c r="H348" s="10">
        <v>1665.15</v>
      </c>
      <c r="I348">
        <v>0</v>
      </c>
      <c r="J348" t="s">
        <v>3</v>
      </c>
      <c r="K348" t="s">
        <v>11</v>
      </c>
      <c r="L348" t="s">
        <v>1</v>
      </c>
      <c r="M348" t="s">
        <v>51</v>
      </c>
    </row>
    <row r="349" spans="1:13" x14ac:dyDescent="0.25">
      <c r="A349" s="9">
        <v>46005</v>
      </c>
      <c r="B349">
        <v>2025</v>
      </c>
      <c r="C349" t="s">
        <v>35</v>
      </c>
      <c r="D349">
        <v>4952</v>
      </c>
      <c r="E349">
        <v>19</v>
      </c>
      <c r="F349">
        <v>7</v>
      </c>
      <c r="G349">
        <v>93</v>
      </c>
      <c r="H349" s="10">
        <v>1108.6199999999999</v>
      </c>
      <c r="I349">
        <v>0</v>
      </c>
      <c r="J349" t="s">
        <v>3</v>
      </c>
      <c r="K349" t="s">
        <v>18</v>
      </c>
      <c r="L349" t="s">
        <v>7</v>
      </c>
      <c r="M349" t="s">
        <v>51</v>
      </c>
    </row>
    <row r="350" spans="1:13" x14ac:dyDescent="0.25">
      <c r="A350" s="9">
        <v>46006</v>
      </c>
      <c r="B350">
        <v>2025</v>
      </c>
      <c r="C350" t="s">
        <v>35</v>
      </c>
      <c r="D350">
        <v>3037</v>
      </c>
      <c r="E350">
        <v>29</v>
      </c>
      <c r="F350">
        <v>45</v>
      </c>
      <c r="G350">
        <v>402</v>
      </c>
      <c r="H350" s="10">
        <v>1061.83</v>
      </c>
      <c r="I350">
        <v>0</v>
      </c>
      <c r="J350" t="s">
        <v>13</v>
      </c>
      <c r="K350" t="s">
        <v>18</v>
      </c>
      <c r="L350" t="s">
        <v>7</v>
      </c>
      <c r="M350" t="s">
        <v>51</v>
      </c>
    </row>
    <row r="351" spans="1:13" x14ac:dyDescent="0.25">
      <c r="A351" s="9">
        <v>46007</v>
      </c>
      <c r="B351">
        <v>2025</v>
      </c>
      <c r="C351" t="s">
        <v>35</v>
      </c>
      <c r="D351">
        <v>4635</v>
      </c>
      <c r="E351">
        <v>30</v>
      </c>
      <c r="F351">
        <v>34</v>
      </c>
      <c r="G351">
        <v>187</v>
      </c>
      <c r="H351" s="10">
        <v>1487.39</v>
      </c>
      <c r="I351">
        <v>0</v>
      </c>
      <c r="J351" t="s">
        <v>13</v>
      </c>
      <c r="K351" t="s">
        <v>11</v>
      </c>
      <c r="L351" t="s">
        <v>1</v>
      </c>
      <c r="M351" t="s">
        <v>51</v>
      </c>
    </row>
    <row r="352" spans="1:13" x14ac:dyDescent="0.25">
      <c r="A352" s="9">
        <v>46008</v>
      </c>
      <c r="B352">
        <v>2025</v>
      </c>
      <c r="C352" t="s">
        <v>35</v>
      </c>
      <c r="D352">
        <v>2747</v>
      </c>
      <c r="E352">
        <v>43</v>
      </c>
      <c r="F352">
        <v>26</v>
      </c>
      <c r="G352">
        <v>339</v>
      </c>
      <c r="H352" s="10">
        <v>1407.47</v>
      </c>
      <c r="I352">
        <v>0</v>
      </c>
      <c r="J352" t="s">
        <v>13</v>
      </c>
      <c r="K352" t="s">
        <v>8</v>
      </c>
      <c r="L352" t="s">
        <v>15</v>
      </c>
      <c r="M352" t="s">
        <v>6</v>
      </c>
    </row>
    <row r="353" spans="1:13" x14ac:dyDescent="0.25">
      <c r="A353" s="9">
        <v>46009</v>
      </c>
      <c r="B353">
        <v>2025</v>
      </c>
      <c r="C353" t="s">
        <v>35</v>
      </c>
      <c r="D353">
        <v>4414</v>
      </c>
      <c r="E353">
        <v>17</v>
      </c>
      <c r="F353">
        <v>35</v>
      </c>
      <c r="G353">
        <v>132</v>
      </c>
      <c r="H353" s="10">
        <v>1758.76</v>
      </c>
      <c r="I353">
        <v>0</v>
      </c>
      <c r="J353" t="s">
        <v>3</v>
      </c>
      <c r="K353" t="s">
        <v>18</v>
      </c>
      <c r="L353" t="s">
        <v>7</v>
      </c>
      <c r="M353" t="s">
        <v>6</v>
      </c>
    </row>
    <row r="354" spans="1:13" x14ac:dyDescent="0.25">
      <c r="A354" s="9">
        <v>46010</v>
      </c>
      <c r="B354">
        <v>2025</v>
      </c>
      <c r="C354" t="s">
        <v>35</v>
      </c>
      <c r="D354">
        <v>4560</v>
      </c>
      <c r="E354">
        <v>23</v>
      </c>
      <c r="F354">
        <v>47</v>
      </c>
      <c r="G354">
        <v>58</v>
      </c>
      <c r="H354" s="10">
        <v>220.58</v>
      </c>
      <c r="I354">
        <v>0</v>
      </c>
      <c r="J354" t="s">
        <v>13</v>
      </c>
      <c r="K354" t="s">
        <v>11</v>
      </c>
      <c r="L354" t="s">
        <v>7</v>
      </c>
      <c r="M354" t="s">
        <v>6</v>
      </c>
    </row>
    <row r="355" spans="1:13" x14ac:dyDescent="0.25">
      <c r="A355" s="9">
        <v>46011</v>
      </c>
      <c r="B355">
        <v>2025</v>
      </c>
      <c r="C355" t="s">
        <v>35</v>
      </c>
      <c r="D355">
        <v>2942</v>
      </c>
      <c r="E355">
        <v>32</v>
      </c>
      <c r="F355">
        <v>36</v>
      </c>
      <c r="G355">
        <v>250</v>
      </c>
      <c r="H355" s="10">
        <v>650.63</v>
      </c>
      <c r="I355">
        <v>0</v>
      </c>
      <c r="J355" t="s">
        <v>3</v>
      </c>
      <c r="K355" t="s">
        <v>18</v>
      </c>
      <c r="L355" t="s">
        <v>1</v>
      </c>
      <c r="M355" t="s">
        <v>6</v>
      </c>
    </row>
    <row r="356" spans="1:13" x14ac:dyDescent="0.25">
      <c r="A356" s="9">
        <v>46012</v>
      </c>
      <c r="B356">
        <v>2025</v>
      </c>
      <c r="C356" t="s">
        <v>35</v>
      </c>
      <c r="D356">
        <v>2216</v>
      </c>
      <c r="E356">
        <v>10</v>
      </c>
      <c r="F356">
        <v>22</v>
      </c>
      <c r="G356">
        <v>140</v>
      </c>
      <c r="H356" s="10">
        <v>1218.71</v>
      </c>
      <c r="I356">
        <v>0</v>
      </c>
      <c r="J356" t="s">
        <v>13</v>
      </c>
      <c r="K356" t="s">
        <v>18</v>
      </c>
      <c r="L356" t="s">
        <v>7</v>
      </c>
      <c r="M356" t="s">
        <v>6</v>
      </c>
    </row>
    <row r="357" spans="1:13" x14ac:dyDescent="0.25">
      <c r="A357" s="9">
        <v>46013</v>
      </c>
      <c r="B357">
        <v>2025</v>
      </c>
      <c r="C357" t="s">
        <v>35</v>
      </c>
      <c r="D357">
        <v>517</v>
      </c>
      <c r="E357">
        <v>27</v>
      </c>
      <c r="F357">
        <v>31</v>
      </c>
      <c r="G357">
        <v>303</v>
      </c>
      <c r="H357" s="10">
        <v>2205.64</v>
      </c>
      <c r="I357">
        <v>0</v>
      </c>
      <c r="J357" t="s">
        <v>13</v>
      </c>
      <c r="K357" t="s">
        <v>18</v>
      </c>
      <c r="L357" t="s">
        <v>1</v>
      </c>
      <c r="M357" t="s">
        <v>6</v>
      </c>
    </row>
    <row r="358" spans="1:13" x14ac:dyDescent="0.25">
      <c r="A358" s="9">
        <v>46014</v>
      </c>
      <c r="B358">
        <v>2025</v>
      </c>
      <c r="C358" t="s">
        <v>35</v>
      </c>
      <c r="D358">
        <v>4257</v>
      </c>
      <c r="E358">
        <v>32</v>
      </c>
      <c r="F358">
        <v>41</v>
      </c>
      <c r="G358">
        <v>337</v>
      </c>
      <c r="H358" s="10">
        <v>2341.71</v>
      </c>
      <c r="I358">
        <v>55</v>
      </c>
      <c r="J358" t="s">
        <v>13</v>
      </c>
      <c r="K358" t="s">
        <v>11</v>
      </c>
      <c r="L358" t="s">
        <v>7</v>
      </c>
      <c r="M358" t="s">
        <v>6</v>
      </c>
    </row>
    <row r="359" spans="1:13" x14ac:dyDescent="0.25">
      <c r="A359" s="9">
        <v>46015</v>
      </c>
      <c r="B359">
        <v>2025</v>
      </c>
      <c r="C359" t="s">
        <v>35</v>
      </c>
      <c r="D359">
        <v>1456</v>
      </c>
      <c r="E359">
        <v>13</v>
      </c>
      <c r="F359">
        <v>33</v>
      </c>
      <c r="G359">
        <v>278</v>
      </c>
      <c r="H359" s="10">
        <v>777.69</v>
      </c>
      <c r="I359">
        <v>0</v>
      </c>
      <c r="J359" t="s">
        <v>13</v>
      </c>
      <c r="K359" t="s">
        <v>11</v>
      </c>
      <c r="L359" t="s">
        <v>1</v>
      </c>
      <c r="M359" t="s">
        <v>6</v>
      </c>
    </row>
    <row r="360" spans="1:13" x14ac:dyDescent="0.25">
      <c r="A360" s="9">
        <v>46016</v>
      </c>
      <c r="B360">
        <v>2025</v>
      </c>
      <c r="C360" t="s">
        <v>35</v>
      </c>
      <c r="D360">
        <v>813</v>
      </c>
      <c r="E360">
        <v>41</v>
      </c>
      <c r="F360">
        <v>32</v>
      </c>
      <c r="G360">
        <v>245</v>
      </c>
      <c r="H360" s="10">
        <v>1696.16</v>
      </c>
      <c r="I360">
        <v>0</v>
      </c>
      <c r="J360" t="s">
        <v>13</v>
      </c>
      <c r="K360" t="s">
        <v>18</v>
      </c>
      <c r="L360" t="s">
        <v>7</v>
      </c>
      <c r="M360" t="s">
        <v>6</v>
      </c>
    </row>
    <row r="361" spans="1:13" x14ac:dyDescent="0.25">
      <c r="A361" s="9">
        <v>46017</v>
      </c>
      <c r="B361">
        <v>2025</v>
      </c>
      <c r="C361" t="s">
        <v>35</v>
      </c>
      <c r="D361">
        <v>2233</v>
      </c>
      <c r="E361">
        <v>17</v>
      </c>
      <c r="F361">
        <v>43</v>
      </c>
      <c r="G361">
        <v>178</v>
      </c>
      <c r="H361" s="10">
        <v>857.82</v>
      </c>
      <c r="I361">
        <v>0</v>
      </c>
      <c r="J361" t="s">
        <v>3</v>
      </c>
      <c r="K361" t="s">
        <v>2</v>
      </c>
      <c r="L361" t="s">
        <v>7</v>
      </c>
      <c r="M361" t="s">
        <v>6</v>
      </c>
    </row>
    <row r="362" spans="1:13" x14ac:dyDescent="0.25">
      <c r="A362" s="9">
        <v>46018</v>
      </c>
      <c r="B362">
        <v>2025</v>
      </c>
      <c r="C362" t="s">
        <v>35</v>
      </c>
      <c r="D362">
        <v>1700</v>
      </c>
      <c r="E362">
        <v>9</v>
      </c>
      <c r="F362">
        <v>42</v>
      </c>
      <c r="G362">
        <v>43</v>
      </c>
      <c r="H362" s="10">
        <v>1161.8</v>
      </c>
      <c r="I362">
        <v>0</v>
      </c>
      <c r="J362" t="s">
        <v>13</v>
      </c>
      <c r="K362" t="s">
        <v>2</v>
      </c>
      <c r="L362" t="s">
        <v>1</v>
      </c>
      <c r="M362" t="s">
        <v>6</v>
      </c>
    </row>
    <row r="363" spans="1:13" x14ac:dyDescent="0.25">
      <c r="A363" s="9">
        <v>46019</v>
      </c>
      <c r="B363">
        <v>2025</v>
      </c>
      <c r="C363" t="s">
        <v>35</v>
      </c>
      <c r="D363">
        <v>4862</v>
      </c>
      <c r="E363">
        <v>12</v>
      </c>
      <c r="F363">
        <v>6</v>
      </c>
      <c r="G363">
        <v>40</v>
      </c>
      <c r="H363" s="10">
        <v>1438.42</v>
      </c>
      <c r="I363">
        <v>0</v>
      </c>
      <c r="J363" t="s">
        <v>3</v>
      </c>
      <c r="K363" t="s">
        <v>18</v>
      </c>
      <c r="L363" t="s">
        <v>10</v>
      </c>
      <c r="M363" t="s">
        <v>6</v>
      </c>
    </row>
    <row r="364" spans="1:13" x14ac:dyDescent="0.25">
      <c r="A364" s="9">
        <v>46020</v>
      </c>
      <c r="B364">
        <v>2025</v>
      </c>
      <c r="C364" t="s">
        <v>35</v>
      </c>
      <c r="D364">
        <v>2249</v>
      </c>
      <c r="E364">
        <v>22</v>
      </c>
      <c r="F364">
        <v>32</v>
      </c>
      <c r="G364">
        <v>311</v>
      </c>
      <c r="H364" s="10">
        <v>2433.9899999999998</v>
      </c>
      <c r="I364">
        <v>0</v>
      </c>
      <c r="J364" t="s">
        <v>3</v>
      </c>
      <c r="K364" t="s">
        <v>8</v>
      </c>
      <c r="L364" t="s">
        <v>1</v>
      </c>
      <c r="M364" t="s">
        <v>6</v>
      </c>
    </row>
    <row r="365" spans="1:13" x14ac:dyDescent="0.25">
      <c r="A365" s="9">
        <v>46021</v>
      </c>
      <c r="B365">
        <v>2025</v>
      </c>
      <c r="C365" t="s">
        <v>35</v>
      </c>
      <c r="D365">
        <v>2731</v>
      </c>
      <c r="E365">
        <v>16</v>
      </c>
      <c r="F365">
        <v>41</v>
      </c>
      <c r="G365">
        <v>327</v>
      </c>
      <c r="H365" s="10">
        <v>1338.38</v>
      </c>
      <c r="I365">
        <v>0</v>
      </c>
      <c r="J365" t="s">
        <v>13</v>
      </c>
      <c r="K365" t="s">
        <v>18</v>
      </c>
      <c r="L365" t="s">
        <v>15</v>
      </c>
      <c r="M365" t="s">
        <v>6</v>
      </c>
    </row>
    <row r="366" spans="1:13" x14ac:dyDescent="0.25">
      <c r="A366" s="9">
        <v>46022</v>
      </c>
      <c r="B366">
        <v>2025</v>
      </c>
      <c r="C366" t="s">
        <v>35</v>
      </c>
      <c r="D366">
        <v>2851</v>
      </c>
      <c r="E366">
        <v>10</v>
      </c>
      <c r="F366">
        <v>42</v>
      </c>
      <c r="G366">
        <v>352</v>
      </c>
      <c r="H366" s="10">
        <v>1623.67</v>
      </c>
      <c r="I366">
        <v>0</v>
      </c>
      <c r="J366" t="s">
        <v>3</v>
      </c>
      <c r="K366" t="s">
        <v>18</v>
      </c>
      <c r="L366" t="s">
        <v>21</v>
      </c>
      <c r="M366" t="s">
        <v>6</v>
      </c>
    </row>
    <row r="367" spans="1:13" x14ac:dyDescent="0.25">
      <c r="A367" s="9">
        <v>46023</v>
      </c>
      <c r="B367">
        <v>2026</v>
      </c>
      <c r="C367" t="s">
        <v>34</v>
      </c>
      <c r="D367">
        <v>3515</v>
      </c>
      <c r="E367">
        <v>43</v>
      </c>
      <c r="F367">
        <v>14</v>
      </c>
      <c r="G367">
        <v>377</v>
      </c>
      <c r="H367" s="10">
        <v>757.57</v>
      </c>
      <c r="I367">
        <v>0</v>
      </c>
      <c r="J367" t="s">
        <v>3</v>
      </c>
      <c r="K367" t="s">
        <v>11</v>
      </c>
      <c r="L367" t="s">
        <v>21</v>
      </c>
      <c r="M367" t="s">
        <v>6</v>
      </c>
    </row>
    <row r="368" spans="1:13" x14ac:dyDescent="0.25">
      <c r="A368" s="9">
        <v>46024</v>
      </c>
      <c r="B368">
        <v>2026</v>
      </c>
      <c r="C368" t="s">
        <v>34</v>
      </c>
      <c r="D368">
        <v>3213</v>
      </c>
      <c r="E368">
        <v>20</v>
      </c>
      <c r="F368">
        <v>36</v>
      </c>
      <c r="G368">
        <v>328</v>
      </c>
      <c r="H368" s="10">
        <v>1136.2</v>
      </c>
      <c r="I368">
        <v>0</v>
      </c>
      <c r="J368" t="s">
        <v>13</v>
      </c>
      <c r="K368" t="s">
        <v>18</v>
      </c>
      <c r="L368" t="s">
        <v>1</v>
      </c>
      <c r="M368" t="s">
        <v>6</v>
      </c>
    </row>
    <row r="369" spans="1:13" x14ac:dyDescent="0.25">
      <c r="A369" s="9">
        <v>46025</v>
      </c>
      <c r="B369">
        <v>2026</v>
      </c>
      <c r="C369" t="s">
        <v>34</v>
      </c>
      <c r="D369">
        <v>4652</v>
      </c>
      <c r="E369">
        <v>26</v>
      </c>
      <c r="F369">
        <v>47</v>
      </c>
      <c r="G369">
        <v>345</v>
      </c>
      <c r="H369" s="10">
        <v>2182.9299999999998</v>
      </c>
      <c r="I369">
        <v>0</v>
      </c>
      <c r="J369" t="s">
        <v>13</v>
      </c>
      <c r="K369" t="s">
        <v>18</v>
      </c>
      <c r="L369" t="s">
        <v>1</v>
      </c>
      <c r="M369" t="s">
        <v>6</v>
      </c>
    </row>
    <row r="370" spans="1:13" x14ac:dyDescent="0.25">
      <c r="A370" s="9">
        <v>46026</v>
      </c>
      <c r="B370">
        <v>2026</v>
      </c>
      <c r="C370" t="s">
        <v>34</v>
      </c>
      <c r="D370">
        <v>2843</v>
      </c>
      <c r="E370">
        <v>16</v>
      </c>
      <c r="F370">
        <v>17</v>
      </c>
      <c r="G370">
        <v>375</v>
      </c>
      <c r="H370" s="10">
        <v>247.98</v>
      </c>
      <c r="I370">
        <v>0</v>
      </c>
      <c r="J370" t="s">
        <v>3</v>
      </c>
      <c r="K370" t="s">
        <v>18</v>
      </c>
      <c r="L370" t="s">
        <v>15</v>
      </c>
      <c r="M370" t="s">
        <v>6</v>
      </c>
    </row>
    <row r="371" spans="1:13" x14ac:dyDescent="0.25">
      <c r="A371" s="9">
        <v>46027</v>
      </c>
      <c r="B371">
        <v>2026</v>
      </c>
      <c r="C371" t="s">
        <v>34</v>
      </c>
      <c r="D371">
        <v>2207</v>
      </c>
      <c r="E371">
        <v>31</v>
      </c>
      <c r="F371">
        <v>1</v>
      </c>
      <c r="G371">
        <v>267</v>
      </c>
      <c r="H371" s="10">
        <v>567.62</v>
      </c>
      <c r="I371">
        <v>0</v>
      </c>
      <c r="J371" t="s">
        <v>3</v>
      </c>
      <c r="K371" t="s">
        <v>11</v>
      </c>
      <c r="L371" t="s">
        <v>10</v>
      </c>
      <c r="M371" t="s">
        <v>6</v>
      </c>
    </row>
    <row r="372" spans="1:13" x14ac:dyDescent="0.25">
      <c r="A372" s="9">
        <v>46028</v>
      </c>
      <c r="B372">
        <v>2026</v>
      </c>
      <c r="C372" t="s">
        <v>34</v>
      </c>
      <c r="D372">
        <v>1999</v>
      </c>
      <c r="E372">
        <v>20</v>
      </c>
      <c r="F372">
        <v>23</v>
      </c>
      <c r="G372">
        <v>48</v>
      </c>
      <c r="H372" s="10">
        <v>1736.58</v>
      </c>
      <c r="I372">
        <v>0</v>
      </c>
      <c r="J372" t="s">
        <v>13</v>
      </c>
      <c r="K372" t="s">
        <v>18</v>
      </c>
      <c r="L372" t="s">
        <v>7</v>
      </c>
      <c r="M372" t="s">
        <v>6</v>
      </c>
    </row>
    <row r="373" spans="1:13" x14ac:dyDescent="0.25">
      <c r="A373" s="9">
        <v>46029</v>
      </c>
      <c r="B373">
        <v>2026</v>
      </c>
      <c r="C373" t="s">
        <v>34</v>
      </c>
      <c r="D373">
        <v>2497</v>
      </c>
      <c r="E373">
        <v>16</v>
      </c>
      <c r="F373">
        <v>31</v>
      </c>
      <c r="G373">
        <v>92</v>
      </c>
      <c r="H373" s="10">
        <v>1791.42</v>
      </c>
      <c r="I373">
        <v>0</v>
      </c>
      <c r="J373" t="s">
        <v>13</v>
      </c>
      <c r="K373" t="s">
        <v>11</v>
      </c>
      <c r="L373" t="s">
        <v>7</v>
      </c>
      <c r="M373" t="s">
        <v>6</v>
      </c>
    </row>
    <row r="374" spans="1:13" x14ac:dyDescent="0.25">
      <c r="A374" s="9">
        <v>46030</v>
      </c>
      <c r="B374">
        <v>2026</v>
      </c>
      <c r="C374" t="s">
        <v>34</v>
      </c>
      <c r="D374">
        <v>1807</v>
      </c>
      <c r="E374">
        <v>14</v>
      </c>
      <c r="F374">
        <v>-3</v>
      </c>
      <c r="G374">
        <v>332</v>
      </c>
      <c r="H374" s="10">
        <v>300.58999999999997</v>
      </c>
      <c r="I374">
        <v>55</v>
      </c>
      <c r="J374" t="s">
        <v>13</v>
      </c>
      <c r="K374" t="s">
        <v>11</v>
      </c>
      <c r="L374" t="s">
        <v>10</v>
      </c>
      <c r="M374" t="s">
        <v>6</v>
      </c>
    </row>
    <row r="375" spans="1:13" x14ac:dyDescent="0.25">
      <c r="A375" s="9">
        <v>46031</v>
      </c>
      <c r="B375">
        <v>2026</v>
      </c>
      <c r="C375" t="s">
        <v>34</v>
      </c>
      <c r="D375">
        <v>2530</v>
      </c>
      <c r="E375">
        <v>24</v>
      </c>
      <c r="F375">
        <v>29</v>
      </c>
      <c r="G375">
        <v>300</v>
      </c>
      <c r="H375" s="10">
        <v>907.25</v>
      </c>
      <c r="I375">
        <v>0</v>
      </c>
      <c r="J375" t="s">
        <v>13</v>
      </c>
      <c r="K375" t="s">
        <v>18</v>
      </c>
      <c r="L375" t="s">
        <v>10</v>
      </c>
      <c r="M375" t="s">
        <v>6</v>
      </c>
    </row>
    <row r="376" spans="1:13" x14ac:dyDescent="0.25">
      <c r="A376" s="9">
        <v>46032</v>
      </c>
      <c r="B376">
        <v>2026</v>
      </c>
      <c r="C376" t="s">
        <v>34</v>
      </c>
      <c r="D376">
        <v>2724</v>
      </c>
      <c r="E376">
        <v>7</v>
      </c>
      <c r="F376">
        <v>20</v>
      </c>
      <c r="G376">
        <v>224</v>
      </c>
      <c r="H376" s="10">
        <v>1264.42</v>
      </c>
      <c r="I376">
        <v>0</v>
      </c>
      <c r="J376" t="s">
        <v>3</v>
      </c>
      <c r="K376" t="s">
        <v>18</v>
      </c>
      <c r="L376" t="s">
        <v>10</v>
      </c>
      <c r="M376" t="s">
        <v>6</v>
      </c>
    </row>
    <row r="377" spans="1:13" x14ac:dyDescent="0.25">
      <c r="A377" s="9">
        <v>46033</v>
      </c>
      <c r="B377">
        <v>2026</v>
      </c>
      <c r="C377" t="s">
        <v>34</v>
      </c>
      <c r="D377">
        <v>2881</v>
      </c>
      <c r="E377">
        <v>31</v>
      </c>
      <c r="F377">
        <v>26</v>
      </c>
      <c r="G377">
        <v>403</v>
      </c>
      <c r="H377" s="10">
        <v>284.5</v>
      </c>
      <c r="I377">
        <v>0</v>
      </c>
      <c r="J377" t="s">
        <v>13</v>
      </c>
      <c r="K377" t="s">
        <v>2</v>
      </c>
      <c r="L377" t="s">
        <v>10</v>
      </c>
      <c r="M377" t="s">
        <v>6</v>
      </c>
    </row>
    <row r="378" spans="1:13" x14ac:dyDescent="0.25">
      <c r="A378" s="9">
        <v>46034</v>
      </c>
      <c r="B378">
        <v>2026</v>
      </c>
      <c r="C378" t="s">
        <v>34</v>
      </c>
      <c r="D378">
        <v>5018</v>
      </c>
      <c r="E378">
        <v>11</v>
      </c>
      <c r="F378">
        <v>59</v>
      </c>
      <c r="G378">
        <v>428</v>
      </c>
      <c r="H378" s="10">
        <v>460.3</v>
      </c>
      <c r="I378">
        <v>0</v>
      </c>
      <c r="J378" t="s">
        <v>3</v>
      </c>
      <c r="K378" t="s">
        <v>11</v>
      </c>
      <c r="L378" t="s">
        <v>7</v>
      </c>
      <c r="M378" t="s">
        <v>6</v>
      </c>
    </row>
    <row r="379" spans="1:13" x14ac:dyDescent="0.25">
      <c r="A379" s="9">
        <v>46035</v>
      </c>
      <c r="B379">
        <v>2026</v>
      </c>
      <c r="C379" t="s">
        <v>34</v>
      </c>
      <c r="D379">
        <v>1220</v>
      </c>
      <c r="E379">
        <v>29</v>
      </c>
      <c r="F379">
        <v>-3</v>
      </c>
      <c r="G379">
        <v>27</v>
      </c>
      <c r="H379" s="10">
        <v>973.47</v>
      </c>
      <c r="I379">
        <v>0</v>
      </c>
      <c r="J379" t="s">
        <v>13</v>
      </c>
      <c r="K379" t="s">
        <v>18</v>
      </c>
      <c r="L379" t="s">
        <v>10</v>
      </c>
      <c r="M379" t="s">
        <v>6</v>
      </c>
    </row>
    <row r="380" spans="1:13" x14ac:dyDescent="0.25">
      <c r="A380" s="9">
        <v>46036</v>
      </c>
      <c r="B380">
        <v>2026</v>
      </c>
      <c r="C380" t="s">
        <v>34</v>
      </c>
      <c r="D380">
        <v>2152</v>
      </c>
      <c r="E380">
        <v>29</v>
      </c>
      <c r="F380">
        <v>37</v>
      </c>
      <c r="G380">
        <v>422</v>
      </c>
      <c r="H380" s="10">
        <v>2138.0700000000002</v>
      </c>
      <c r="I380">
        <v>55</v>
      </c>
      <c r="J380" t="s">
        <v>3</v>
      </c>
      <c r="K380" t="s">
        <v>2</v>
      </c>
      <c r="L380" t="s">
        <v>7</v>
      </c>
      <c r="M380" t="s">
        <v>6</v>
      </c>
    </row>
    <row r="381" spans="1:13" x14ac:dyDescent="0.25">
      <c r="A381" s="9">
        <v>46037</v>
      </c>
      <c r="B381">
        <v>2026</v>
      </c>
      <c r="C381" t="s">
        <v>34</v>
      </c>
      <c r="D381">
        <v>1280</v>
      </c>
      <c r="E381">
        <v>17</v>
      </c>
      <c r="F381">
        <v>11</v>
      </c>
      <c r="G381">
        <v>91</v>
      </c>
      <c r="H381" s="10">
        <v>1044.25</v>
      </c>
      <c r="I381">
        <v>0</v>
      </c>
      <c r="J381" t="s">
        <v>13</v>
      </c>
      <c r="K381" t="s">
        <v>18</v>
      </c>
      <c r="L381" t="s">
        <v>10</v>
      </c>
      <c r="M381" t="s">
        <v>6</v>
      </c>
    </row>
    <row r="382" spans="1:13" x14ac:dyDescent="0.25">
      <c r="A382" s="9">
        <v>46038</v>
      </c>
      <c r="B382">
        <v>2026</v>
      </c>
      <c r="C382" t="s">
        <v>34</v>
      </c>
      <c r="D382">
        <v>2237</v>
      </c>
      <c r="E382">
        <v>20</v>
      </c>
      <c r="F382">
        <v>24</v>
      </c>
      <c r="G382">
        <v>209</v>
      </c>
      <c r="H382" s="10">
        <v>1563.36</v>
      </c>
      <c r="I382">
        <v>0</v>
      </c>
      <c r="J382" t="s">
        <v>3</v>
      </c>
      <c r="K382" t="s">
        <v>8</v>
      </c>
      <c r="L382" t="s">
        <v>10</v>
      </c>
      <c r="M382" t="s">
        <v>33</v>
      </c>
    </row>
    <row r="383" spans="1:13" x14ac:dyDescent="0.25">
      <c r="A383" s="9">
        <v>46039</v>
      </c>
      <c r="B383">
        <v>2026</v>
      </c>
      <c r="C383" t="s">
        <v>34</v>
      </c>
      <c r="D383">
        <v>4329</v>
      </c>
      <c r="E383">
        <v>13</v>
      </c>
      <c r="F383">
        <v>34</v>
      </c>
      <c r="G383">
        <v>384</v>
      </c>
      <c r="H383" s="10">
        <v>1050.19</v>
      </c>
      <c r="I383">
        <v>0</v>
      </c>
      <c r="J383" t="s">
        <v>13</v>
      </c>
      <c r="K383" t="s">
        <v>18</v>
      </c>
      <c r="L383" t="s">
        <v>10</v>
      </c>
      <c r="M383" t="s">
        <v>33</v>
      </c>
    </row>
    <row r="384" spans="1:13" x14ac:dyDescent="0.25">
      <c r="A384" s="9">
        <v>46040</v>
      </c>
      <c r="B384">
        <v>2026</v>
      </c>
      <c r="C384" t="s">
        <v>34</v>
      </c>
      <c r="D384">
        <v>4286</v>
      </c>
      <c r="E384">
        <v>20</v>
      </c>
      <c r="F384">
        <v>52</v>
      </c>
      <c r="G384">
        <v>262</v>
      </c>
      <c r="H384" s="10">
        <v>143.46</v>
      </c>
      <c r="I384">
        <v>0</v>
      </c>
      <c r="J384" t="s">
        <v>13</v>
      </c>
      <c r="K384" t="s">
        <v>11</v>
      </c>
      <c r="L384" t="s">
        <v>1</v>
      </c>
      <c r="M384" t="s">
        <v>33</v>
      </c>
    </row>
    <row r="385" spans="1:13" x14ac:dyDescent="0.25">
      <c r="A385" s="9">
        <v>46041</v>
      </c>
      <c r="B385">
        <v>2026</v>
      </c>
      <c r="C385" t="s">
        <v>34</v>
      </c>
      <c r="D385">
        <v>2024</v>
      </c>
      <c r="E385">
        <v>21</v>
      </c>
      <c r="F385">
        <v>18</v>
      </c>
      <c r="G385">
        <v>440</v>
      </c>
      <c r="H385" s="10">
        <v>1532.4</v>
      </c>
      <c r="I385">
        <v>0</v>
      </c>
      <c r="J385" t="s">
        <v>13</v>
      </c>
      <c r="K385" t="s">
        <v>2</v>
      </c>
      <c r="L385" t="s">
        <v>10</v>
      </c>
      <c r="M385" t="s">
        <v>33</v>
      </c>
    </row>
    <row r="386" spans="1:13" x14ac:dyDescent="0.25">
      <c r="A386" s="9">
        <v>46042</v>
      </c>
      <c r="B386">
        <v>2026</v>
      </c>
      <c r="C386" t="s">
        <v>34</v>
      </c>
      <c r="D386">
        <v>2507</v>
      </c>
      <c r="E386">
        <v>8</v>
      </c>
      <c r="F386">
        <v>16</v>
      </c>
      <c r="G386">
        <v>95</v>
      </c>
      <c r="H386" s="10">
        <v>1092.83</v>
      </c>
      <c r="I386">
        <v>0</v>
      </c>
      <c r="J386" t="s">
        <v>13</v>
      </c>
      <c r="K386" t="s">
        <v>18</v>
      </c>
      <c r="L386" t="s">
        <v>10</v>
      </c>
      <c r="M386" t="s">
        <v>33</v>
      </c>
    </row>
    <row r="387" spans="1:13" x14ac:dyDescent="0.25">
      <c r="A387" s="9">
        <v>46043</v>
      </c>
      <c r="B387">
        <v>2026</v>
      </c>
      <c r="C387" t="s">
        <v>34</v>
      </c>
      <c r="D387">
        <v>2446</v>
      </c>
      <c r="E387">
        <v>13</v>
      </c>
      <c r="F387">
        <v>41</v>
      </c>
      <c r="G387">
        <v>199</v>
      </c>
      <c r="H387" s="10">
        <v>1440.69</v>
      </c>
      <c r="I387">
        <v>0</v>
      </c>
      <c r="J387" t="s">
        <v>13</v>
      </c>
      <c r="K387" t="s">
        <v>18</v>
      </c>
      <c r="L387" t="s">
        <v>17</v>
      </c>
      <c r="M387" t="s">
        <v>33</v>
      </c>
    </row>
    <row r="388" spans="1:13" x14ac:dyDescent="0.25">
      <c r="A388" s="9">
        <v>46044</v>
      </c>
      <c r="B388">
        <v>2026</v>
      </c>
      <c r="C388" t="s">
        <v>34</v>
      </c>
      <c r="D388">
        <v>3250</v>
      </c>
      <c r="E388">
        <v>25</v>
      </c>
      <c r="F388">
        <v>40</v>
      </c>
      <c r="G388">
        <v>324</v>
      </c>
      <c r="H388" s="10">
        <v>2110.27</v>
      </c>
      <c r="I388">
        <v>0</v>
      </c>
      <c r="J388" t="s">
        <v>13</v>
      </c>
      <c r="K388" t="s">
        <v>11</v>
      </c>
      <c r="L388" t="s">
        <v>7</v>
      </c>
      <c r="M388" t="s">
        <v>33</v>
      </c>
    </row>
    <row r="389" spans="1:13" x14ac:dyDescent="0.25">
      <c r="A389" s="9">
        <v>46045</v>
      </c>
      <c r="B389">
        <v>2026</v>
      </c>
      <c r="C389" t="s">
        <v>34</v>
      </c>
      <c r="D389">
        <v>3082</v>
      </c>
      <c r="E389">
        <v>19</v>
      </c>
      <c r="F389">
        <v>29</v>
      </c>
      <c r="G389">
        <v>281</v>
      </c>
      <c r="H389" s="10">
        <v>2139.15</v>
      </c>
      <c r="I389">
        <v>0</v>
      </c>
      <c r="J389" t="s">
        <v>3</v>
      </c>
      <c r="K389" t="s">
        <v>11</v>
      </c>
      <c r="L389" t="s">
        <v>1</v>
      </c>
      <c r="M389" t="s">
        <v>33</v>
      </c>
    </row>
    <row r="390" spans="1:13" x14ac:dyDescent="0.25">
      <c r="A390" s="9">
        <v>46046</v>
      </c>
      <c r="B390">
        <v>2026</v>
      </c>
      <c r="C390" t="s">
        <v>34</v>
      </c>
      <c r="D390">
        <v>3332</v>
      </c>
      <c r="E390">
        <v>18</v>
      </c>
      <c r="F390">
        <v>-3</v>
      </c>
      <c r="G390">
        <v>323</v>
      </c>
      <c r="H390" s="10">
        <v>1414.69</v>
      </c>
      <c r="I390">
        <v>0</v>
      </c>
      <c r="J390" t="s">
        <v>13</v>
      </c>
      <c r="K390" t="s">
        <v>11</v>
      </c>
      <c r="L390" t="s">
        <v>7</v>
      </c>
      <c r="M390" t="s">
        <v>33</v>
      </c>
    </row>
    <row r="391" spans="1:13" x14ac:dyDescent="0.25">
      <c r="A391" s="9">
        <v>46047</v>
      </c>
      <c r="B391">
        <v>2026</v>
      </c>
      <c r="C391" t="s">
        <v>34</v>
      </c>
      <c r="D391">
        <v>1681</v>
      </c>
      <c r="E391">
        <v>16</v>
      </c>
      <c r="F391">
        <v>20</v>
      </c>
      <c r="G391">
        <v>42</v>
      </c>
      <c r="H391" s="10">
        <v>1265.01</v>
      </c>
      <c r="I391">
        <v>0</v>
      </c>
      <c r="J391" t="s">
        <v>13</v>
      </c>
      <c r="K391" t="s">
        <v>8</v>
      </c>
      <c r="L391" t="s">
        <v>1</v>
      </c>
      <c r="M391" t="s">
        <v>33</v>
      </c>
    </row>
    <row r="392" spans="1:13" x14ac:dyDescent="0.25">
      <c r="A392" s="9">
        <v>46048</v>
      </c>
      <c r="B392">
        <v>2026</v>
      </c>
      <c r="C392" t="s">
        <v>34</v>
      </c>
      <c r="D392">
        <v>2809</v>
      </c>
      <c r="E392">
        <v>22</v>
      </c>
      <c r="F392">
        <v>10</v>
      </c>
      <c r="G392">
        <v>253</v>
      </c>
      <c r="H392" s="10">
        <v>693.09</v>
      </c>
      <c r="I392">
        <v>0</v>
      </c>
      <c r="J392" t="s">
        <v>13</v>
      </c>
      <c r="K392" t="s">
        <v>18</v>
      </c>
      <c r="L392" t="s">
        <v>10</v>
      </c>
      <c r="M392" t="s">
        <v>33</v>
      </c>
    </row>
    <row r="393" spans="1:13" x14ac:dyDescent="0.25">
      <c r="A393" s="9">
        <v>46049</v>
      </c>
      <c r="B393">
        <v>2026</v>
      </c>
      <c r="C393" t="s">
        <v>34</v>
      </c>
      <c r="D393">
        <v>3365</v>
      </c>
      <c r="E393">
        <v>23</v>
      </c>
      <c r="F393">
        <v>36</v>
      </c>
      <c r="G393">
        <v>276</v>
      </c>
      <c r="H393" s="10">
        <v>2082.5700000000002</v>
      </c>
      <c r="I393">
        <v>0</v>
      </c>
      <c r="J393" t="s">
        <v>13</v>
      </c>
      <c r="K393" t="s">
        <v>18</v>
      </c>
      <c r="L393" t="s">
        <v>1</v>
      </c>
      <c r="M393" t="s">
        <v>33</v>
      </c>
    </row>
    <row r="394" spans="1:13" x14ac:dyDescent="0.25">
      <c r="A394" s="9">
        <v>46050</v>
      </c>
      <c r="B394">
        <v>2026</v>
      </c>
      <c r="C394" t="s">
        <v>34</v>
      </c>
      <c r="D394">
        <v>4645</v>
      </c>
      <c r="E394">
        <v>21</v>
      </c>
      <c r="F394">
        <v>53</v>
      </c>
      <c r="G394">
        <v>118</v>
      </c>
      <c r="H394" s="10">
        <v>267.43</v>
      </c>
      <c r="I394">
        <v>0</v>
      </c>
      <c r="J394" t="s">
        <v>13</v>
      </c>
      <c r="K394" t="s">
        <v>18</v>
      </c>
      <c r="L394" t="s">
        <v>7</v>
      </c>
      <c r="M394" t="s">
        <v>33</v>
      </c>
    </row>
    <row r="395" spans="1:13" x14ac:dyDescent="0.25">
      <c r="A395" s="9">
        <v>46051</v>
      </c>
      <c r="B395">
        <v>2026</v>
      </c>
      <c r="C395" t="s">
        <v>34</v>
      </c>
      <c r="D395">
        <v>1275</v>
      </c>
      <c r="E395">
        <v>17</v>
      </c>
      <c r="F395">
        <v>19</v>
      </c>
      <c r="G395">
        <v>34</v>
      </c>
      <c r="H395" s="10">
        <v>2416.9499999999998</v>
      </c>
      <c r="I395">
        <v>0</v>
      </c>
      <c r="J395" t="s">
        <v>3</v>
      </c>
      <c r="K395" t="s">
        <v>18</v>
      </c>
      <c r="L395" t="s">
        <v>10</v>
      </c>
      <c r="M395" t="s">
        <v>33</v>
      </c>
    </row>
    <row r="396" spans="1:13" x14ac:dyDescent="0.25">
      <c r="A396" s="9">
        <v>46052</v>
      </c>
      <c r="B396">
        <v>2026</v>
      </c>
      <c r="C396" t="s">
        <v>34</v>
      </c>
      <c r="D396">
        <v>3184</v>
      </c>
      <c r="E396">
        <v>20</v>
      </c>
      <c r="F396">
        <v>30</v>
      </c>
      <c r="G396">
        <v>263</v>
      </c>
      <c r="H396" s="10">
        <v>91.12</v>
      </c>
      <c r="I396">
        <v>0</v>
      </c>
      <c r="J396" t="s">
        <v>13</v>
      </c>
      <c r="K396" t="s">
        <v>18</v>
      </c>
      <c r="L396" t="s">
        <v>7</v>
      </c>
      <c r="M396" t="s">
        <v>33</v>
      </c>
    </row>
    <row r="397" spans="1:13" x14ac:dyDescent="0.25">
      <c r="A397" s="9">
        <v>46053</v>
      </c>
      <c r="B397">
        <v>2026</v>
      </c>
      <c r="C397" t="s">
        <v>34</v>
      </c>
      <c r="D397">
        <v>3066</v>
      </c>
      <c r="E397">
        <v>20</v>
      </c>
      <c r="F397">
        <v>22</v>
      </c>
      <c r="G397">
        <v>340</v>
      </c>
      <c r="H397" s="10">
        <v>1316.84</v>
      </c>
      <c r="I397">
        <v>0</v>
      </c>
      <c r="J397" t="s">
        <v>3</v>
      </c>
      <c r="K397" t="s">
        <v>2</v>
      </c>
      <c r="L397" t="s">
        <v>7</v>
      </c>
      <c r="M397" t="s">
        <v>33</v>
      </c>
    </row>
    <row r="398" spans="1:13" x14ac:dyDescent="0.25">
      <c r="A398" s="9">
        <v>46054</v>
      </c>
      <c r="B398">
        <v>2026</v>
      </c>
      <c r="C398" t="s">
        <v>32</v>
      </c>
      <c r="D398">
        <v>3674</v>
      </c>
      <c r="E398">
        <v>25</v>
      </c>
      <c r="F398">
        <v>42</v>
      </c>
      <c r="G398">
        <v>81</v>
      </c>
      <c r="H398" s="10">
        <v>1873.85</v>
      </c>
      <c r="I398">
        <v>0</v>
      </c>
      <c r="J398" t="s">
        <v>13</v>
      </c>
      <c r="K398" t="s">
        <v>18</v>
      </c>
      <c r="L398" t="s">
        <v>17</v>
      </c>
      <c r="M398" t="s">
        <v>33</v>
      </c>
    </row>
    <row r="399" spans="1:13" x14ac:dyDescent="0.25">
      <c r="A399" s="9">
        <v>46055</v>
      </c>
      <c r="B399">
        <v>2026</v>
      </c>
      <c r="C399" t="s">
        <v>32</v>
      </c>
      <c r="D399">
        <v>2133</v>
      </c>
      <c r="E399">
        <v>18</v>
      </c>
      <c r="F399">
        <v>12</v>
      </c>
      <c r="G399">
        <v>80</v>
      </c>
      <c r="H399" s="10">
        <v>880.99</v>
      </c>
      <c r="I399">
        <v>55</v>
      </c>
      <c r="J399" t="s">
        <v>13</v>
      </c>
      <c r="K399" t="s">
        <v>11</v>
      </c>
      <c r="L399" t="s">
        <v>7</v>
      </c>
      <c r="M399" t="s">
        <v>33</v>
      </c>
    </row>
    <row r="400" spans="1:13" x14ac:dyDescent="0.25">
      <c r="A400" s="9">
        <v>46056</v>
      </c>
      <c r="B400">
        <v>2026</v>
      </c>
      <c r="C400" t="s">
        <v>32</v>
      </c>
      <c r="D400">
        <v>1443</v>
      </c>
      <c r="E400">
        <v>13</v>
      </c>
      <c r="F400">
        <v>2</v>
      </c>
      <c r="G400">
        <v>282</v>
      </c>
      <c r="H400" s="10">
        <v>516.53</v>
      </c>
      <c r="I400">
        <v>0</v>
      </c>
      <c r="J400" t="s">
        <v>13</v>
      </c>
      <c r="K400" t="s">
        <v>2</v>
      </c>
      <c r="L400" t="s">
        <v>10</v>
      </c>
      <c r="M400" t="s">
        <v>33</v>
      </c>
    </row>
    <row r="401" spans="1:13" x14ac:dyDescent="0.25">
      <c r="A401" s="9">
        <v>46057</v>
      </c>
      <c r="B401">
        <v>2026</v>
      </c>
      <c r="C401" t="s">
        <v>32</v>
      </c>
      <c r="D401">
        <v>2752</v>
      </c>
      <c r="E401">
        <v>15</v>
      </c>
      <c r="F401">
        <v>30</v>
      </c>
      <c r="G401">
        <v>101</v>
      </c>
      <c r="H401" s="10">
        <v>1463.55</v>
      </c>
      <c r="I401">
        <v>0</v>
      </c>
      <c r="J401" t="s">
        <v>3</v>
      </c>
      <c r="K401" t="s">
        <v>18</v>
      </c>
      <c r="L401" t="s">
        <v>7</v>
      </c>
      <c r="M401" t="s">
        <v>33</v>
      </c>
    </row>
    <row r="402" spans="1:13" x14ac:dyDescent="0.25">
      <c r="A402" s="9">
        <v>46058</v>
      </c>
      <c r="B402">
        <v>2026</v>
      </c>
      <c r="C402" t="s">
        <v>32</v>
      </c>
      <c r="D402">
        <v>676</v>
      </c>
      <c r="E402">
        <v>12</v>
      </c>
      <c r="F402">
        <v>46</v>
      </c>
      <c r="G402">
        <v>144</v>
      </c>
      <c r="H402" s="10">
        <v>1120.6199999999999</v>
      </c>
      <c r="I402">
        <v>0</v>
      </c>
      <c r="J402" t="s">
        <v>3</v>
      </c>
      <c r="K402" t="s">
        <v>18</v>
      </c>
      <c r="L402" t="s">
        <v>10</v>
      </c>
      <c r="M402" t="s">
        <v>33</v>
      </c>
    </row>
    <row r="403" spans="1:13" x14ac:dyDescent="0.25">
      <c r="A403" s="9">
        <v>46059</v>
      </c>
      <c r="B403">
        <v>2026</v>
      </c>
      <c r="C403" t="s">
        <v>32</v>
      </c>
      <c r="D403">
        <v>2983</v>
      </c>
      <c r="E403">
        <v>25</v>
      </c>
      <c r="F403">
        <v>1</v>
      </c>
      <c r="G403">
        <v>312</v>
      </c>
      <c r="H403" s="10">
        <v>512.23</v>
      </c>
      <c r="I403">
        <v>0</v>
      </c>
      <c r="J403" t="s">
        <v>13</v>
      </c>
      <c r="K403" t="s">
        <v>11</v>
      </c>
      <c r="L403" t="s">
        <v>10</v>
      </c>
      <c r="M403" t="s">
        <v>33</v>
      </c>
    </row>
    <row r="404" spans="1:13" x14ac:dyDescent="0.25">
      <c r="A404" s="9">
        <v>46060</v>
      </c>
      <c r="B404">
        <v>2026</v>
      </c>
      <c r="C404" t="s">
        <v>32</v>
      </c>
      <c r="D404">
        <v>2672</v>
      </c>
      <c r="E404">
        <v>11</v>
      </c>
      <c r="F404">
        <v>18</v>
      </c>
      <c r="G404">
        <v>363</v>
      </c>
      <c r="H404" s="10">
        <v>78.67</v>
      </c>
      <c r="I404">
        <v>0</v>
      </c>
      <c r="J404" t="s">
        <v>3</v>
      </c>
      <c r="K404" t="s">
        <v>18</v>
      </c>
      <c r="L404" t="s">
        <v>10</v>
      </c>
      <c r="M404" t="s">
        <v>33</v>
      </c>
    </row>
    <row r="405" spans="1:13" x14ac:dyDescent="0.25">
      <c r="A405" s="9">
        <v>46061</v>
      </c>
      <c r="B405">
        <v>2026</v>
      </c>
      <c r="C405" t="s">
        <v>32</v>
      </c>
      <c r="D405">
        <v>5249</v>
      </c>
      <c r="E405">
        <v>7</v>
      </c>
      <c r="F405">
        <v>48</v>
      </c>
      <c r="G405">
        <v>173</v>
      </c>
      <c r="H405" s="10">
        <v>132</v>
      </c>
      <c r="I405">
        <v>0</v>
      </c>
      <c r="J405" t="s">
        <v>13</v>
      </c>
      <c r="K405" t="s">
        <v>18</v>
      </c>
      <c r="L405" t="s">
        <v>10</v>
      </c>
      <c r="M405" t="s">
        <v>33</v>
      </c>
    </row>
    <row r="406" spans="1:13" x14ac:dyDescent="0.25">
      <c r="A406" s="9">
        <v>46062</v>
      </c>
      <c r="B406">
        <v>2026</v>
      </c>
      <c r="C406" t="s">
        <v>32</v>
      </c>
      <c r="D406">
        <v>3383</v>
      </c>
      <c r="E406">
        <v>33</v>
      </c>
      <c r="F406">
        <v>28</v>
      </c>
      <c r="G406">
        <v>407</v>
      </c>
      <c r="H406" s="10">
        <v>2068.5100000000002</v>
      </c>
      <c r="I406">
        <v>0</v>
      </c>
      <c r="J406" t="s">
        <v>13</v>
      </c>
      <c r="K406" t="s">
        <v>18</v>
      </c>
      <c r="L406" t="s">
        <v>7</v>
      </c>
      <c r="M406" t="s">
        <v>33</v>
      </c>
    </row>
    <row r="407" spans="1:13" x14ac:dyDescent="0.25">
      <c r="A407" s="9">
        <v>46063</v>
      </c>
      <c r="B407">
        <v>2026</v>
      </c>
      <c r="C407" t="s">
        <v>32</v>
      </c>
      <c r="D407">
        <v>3577</v>
      </c>
      <c r="E407">
        <v>16</v>
      </c>
      <c r="F407">
        <v>44</v>
      </c>
      <c r="G407">
        <v>227</v>
      </c>
      <c r="H407" s="10">
        <v>1031.05</v>
      </c>
      <c r="I407">
        <v>0</v>
      </c>
      <c r="J407" t="s">
        <v>13</v>
      </c>
      <c r="K407" t="s">
        <v>18</v>
      </c>
      <c r="L407" t="s">
        <v>10</v>
      </c>
      <c r="M407" t="s">
        <v>16</v>
      </c>
    </row>
    <row r="408" spans="1:13" x14ac:dyDescent="0.25">
      <c r="A408" s="9">
        <v>46064</v>
      </c>
      <c r="B408">
        <v>2026</v>
      </c>
      <c r="C408" t="s">
        <v>32</v>
      </c>
      <c r="D408">
        <v>1983</v>
      </c>
      <c r="E408">
        <v>30</v>
      </c>
      <c r="F408">
        <v>14</v>
      </c>
      <c r="G408">
        <v>223</v>
      </c>
      <c r="H408" s="10">
        <v>967.1</v>
      </c>
      <c r="I408">
        <v>0</v>
      </c>
      <c r="J408" t="s">
        <v>13</v>
      </c>
      <c r="K408" t="s">
        <v>18</v>
      </c>
      <c r="L408" t="s">
        <v>10</v>
      </c>
      <c r="M408" t="s">
        <v>16</v>
      </c>
    </row>
    <row r="409" spans="1:13" x14ac:dyDescent="0.25">
      <c r="A409" s="9">
        <v>46065</v>
      </c>
      <c r="B409">
        <v>2026</v>
      </c>
      <c r="C409" t="s">
        <v>32</v>
      </c>
      <c r="D409">
        <v>3959</v>
      </c>
      <c r="E409">
        <v>24</v>
      </c>
      <c r="F409">
        <v>38</v>
      </c>
      <c r="G409">
        <v>431</v>
      </c>
      <c r="H409" s="10">
        <v>121.74</v>
      </c>
      <c r="I409">
        <v>0</v>
      </c>
      <c r="J409" t="s">
        <v>13</v>
      </c>
      <c r="K409" t="s">
        <v>18</v>
      </c>
      <c r="L409" t="s">
        <v>10</v>
      </c>
      <c r="M409" t="s">
        <v>16</v>
      </c>
    </row>
    <row r="410" spans="1:13" x14ac:dyDescent="0.25">
      <c r="A410" s="9">
        <v>46066</v>
      </c>
      <c r="B410">
        <v>2026</v>
      </c>
      <c r="C410" t="s">
        <v>32</v>
      </c>
      <c r="D410">
        <v>1757</v>
      </c>
      <c r="E410">
        <v>22</v>
      </c>
      <c r="F410">
        <v>31</v>
      </c>
      <c r="G410">
        <v>31</v>
      </c>
      <c r="H410" s="10">
        <v>331.33</v>
      </c>
      <c r="I410">
        <v>0</v>
      </c>
      <c r="J410" t="s">
        <v>13</v>
      </c>
      <c r="K410" t="s">
        <v>18</v>
      </c>
      <c r="L410" t="s">
        <v>10</v>
      </c>
      <c r="M410" t="s">
        <v>16</v>
      </c>
    </row>
    <row r="411" spans="1:13" x14ac:dyDescent="0.25">
      <c r="A411" s="9">
        <v>46067</v>
      </c>
      <c r="B411">
        <v>2026</v>
      </c>
      <c r="C411" t="s">
        <v>32</v>
      </c>
      <c r="D411">
        <v>4562</v>
      </c>
      <c r="E411">
        <v>34</v>
      </c>
      <c r="F411">
        <v>54</v>
      </c>
      <c r="G411">
        <v>279</v>
      </c>
      <c r="H411" s="10">
        <v>810.93</v>
      </c>
      <c r="I411">
        <v>0</v>
      </c>
      <c r="J411" t="s">
        <v>3</v>
      </c>
      <c r="K411" t="s">
        <v>18</v>
      </c>
      <c r="L411" t="s">
        <v>17</v>
      </c>
      <c r="M411" t="s">
        <v>16</v>
      </c>
    </row>
    <row r="412" spans="1:13" x14ac:dyDescent="0.25">
      <c r="A412" s="9">
        <v>46068</v>
      </c>
      <c r="B412">
        <v>2026</v>
      </c>
      <c r="C412" t="s">
        <v>32</v>
      </c>
      <c r="D412">
        <v>4709</v>
      </c>
      <c r="E412">
        <v>22</v>
      </c>
      <c r="F412">
        <v>41</v>
      </c>
      <c r="G412">
        <v>88</v>
      </c>
      <c r="H412" s="10">
        <v>952.18</v>
      </c>
      <c r="I412">
        <v>0</v>
      </c>
      <c r="J412" t="s">
        <v>13</v>
      </c>
      <c r="K412" t="s">
        <v>18</v>
      </c>
      <c r="L412" t="s">
        <v>10</v>
      </c>
      <c r="M412" t="s">
        <v>16</v>
      </c>
    </row>
    <row r="413" spans="1:13" x14ac:dyDescent="0.25">
      <c r="A413" s="9">
        <v>46069</v>
      </c>
      <c r="B413">
        <v>2026</v>
      </c>
      <c r="C413" t="s">
        <v>32</v>
      </c>
      <c r="D413">
        <v>2328</v>
      </c>
      <c r="E413">
        <v>16</v>
      </c>
      <c r="F413">
        <v>14</v>
      </c>
      <c r="G413">
        <v>241</v>
      </c>
      <c r="H413" s="10">
        <v>1570.59</v>
      </c>
      <c r="I413">
        <v>0</v>
      </c>
      <c r="J413" t="s">
        <v>13</v>
      </c>
      <c r="K413" t="s">
        <v>11</v>
      </c>
      <c r="L413" t="s">
        <v>17</v>
      </c>
      <c r="M413" t="s">
        <v>16</v>
      </c>
    </row>
    <row r="414" spans="1:13" x14ac:dyDescent="0.25">
      <c r="A414" s="9">
        <v>46070</v>
      </c>
      <c r="B414">
        <v>2026</v>
      </c>
      <c r="C414" t="s">
        <v>32</v>
      </c>
      <c r="D414">
        <v>1788</v>
      </c>
      <c r="E414">
        <v>18</v>
      </c>
      <c r="F414">
        <v>13</v>
      </c>
      <c r="G414">
        <v>379</v>
      </c>
      <c r="H414" s="10">
        <v>261.06</v>
      </c>
      <c r="I414">
        <v>0</v>
      </c>
      <c r="J414" t="s">
        <v>3</v>
      </c>
      <c r="K414" t="s">
        <v>18</v>
      </c>
      <c r="L414" t="s">
        <v>7</v>
      </c>
      <c r="M414" t="s">
        <v>16</v>
      </c>
    </row>
    <row r="415" spans="1:13" x14ac:dyDescent="0.25">
      <c r="A415" s="9">
        <v>46071</v>
      </c>
      <c r="B415">
        <v>2026</v>
      </c>
      <c r="C415" t="s">
        <v>32</v>
      </c>
      <c r="D415">
        <v>2990</v>
      </c>
      <c r="E415">
        <v>10</v>
      </c>
      <c r="F415">
        <v>10</v>
      </c>
      <c r="G415">
        <v>214</v>
      </c>
      <c r="H415" s="10">
        <v>1496.09</v>
      </c>
      <c r="I415">
        <v>0</v>
      </c>
      <c r="J415" t="s">
        <v>13</v>
      </c>
      <c r="K415" t="s">
        <v>11</v>
      </c>
      <c r="L415" t="s">
        <v>1</v>
      </c>
      <c r="M415" t="s">
        <v>16</v>
      </c>
    </row>
    <row r="416" spans="1:13" x14ac:dyDescent="0.25">
      <c r="A416" s="9">
        <v>46072</v>
      </c>
      <c r="B416">
        <v>2026</v>
      </c>
      <c r="C416" t="s">
        <v>32</v>
      </c>
      <c r="D416">
        <v>2593</v>
      </c>
      <c r="E416">
        <v>25</v>
      </c>
      <c r="F416">
        <v>16</v>
      </c>
      <c r="G416">
        <v>290</v>
      </c>
      <c r="H416" s="10">
        <v>244.13</v>
      </c>
      <c r="I416">
        <v>0</v>
      </c>
      <c r="J416" t="s">
        <v>13</v>
      </c>
      <c r="K416" t="s">
        <v>18</v>
      </c>
      <c r="L416" t="s">
        <v>7</v>
      </c>
      <c r="M416" t="s">
        <v>16</v>
      </c>
    </row>
    <row r="417" spans="1:13" x14ac:dyDescent="0.25">
      <c r="A417" s="9">
        <v>46073</v>
      </c>
      <c r="B417">
        <v>2026</v>
      </c>
      <c r="C417" t="s">
        <v>32</v>
      </c>
      <c r="D417">
        <v>2565</v>
      </c>
      <c r="E417">
        <v>27</v>
      </c>
      <c r="F417">
        <v>21</v>
      </c>
      <c r="G417">
        <v>444</v>
      </c>
      <c r="H417" s="10">
        <v>1076.1099999999999</v>
      </c>
      <c r="I417">
        <v>55</v>
      </c>
      <c r="J417" t="s">
        <v>13</v>
      </c>
      <c r="K417" t="s">
        <v>11</v>
      </c>
      <c r="L417" t="s">
        <v>1</v>
      </c>
      <c r="M417" t="s">
        <v>16</v>
      </c>
    </row>
    <row r="418" spans="1:13" x14ac:dyDescent="0.25">
      <c r="A418" s="9">
        <v>46074</v>
      </c>
      <c r="B418">
        <v>2026</v>
      </c>
      <c r="C418" t="s">
        <v>32</v>
      </c>
      <c r="D418">
        <v>3585</v>
      </c>
      <c r="E418">
        <v>28</v>
      </c>
      <c r="F418">
        <v>47</v>
      </c>
      <c r="G418">
        <v>201</v>
      </c>
      <c r="H418" s="10">
        <v>1966.4</v>
      </c>
      <c r="I418">
        <v>0</v>
      </c>
      <c r="J418" t="s">
        <v>13</v>
      </c>
      <c r="K418" t="s">
        <v>18</v>
      </c>
      <c r="L418" t="s">
        <v>10</v>
      </c>
      <c r="M418" t="s">
        <v>16</v>
      </c>
    </row>
    <row r="419" spans="1:13" x14ac:dyDescent="0.25">
      <c r="A419" s="9">
        <v>46075</v>
      </c>
      <c r="B419">
        <v>2026</v>
      </c>
      <c r="C419" t="s">
        <v>32</v>
      </c>
      <c r="D419">
        <v>2039</v>
      </c>
      <c r="E419">
        <v>27</v>
      </c>
      <c r="F419">
        <v>11</v>
      </c>
      <c r="G419">
        <v>206</v>
      </c>
      <c r="H419" s="10">
        <v>399.04</v>
      </c>
      <c r="I419">
        <v>0</v>
      </c>
      <c r="J419" t="s">
        <v>13</v>
      </c>
      <c r="K419" t="s">
        <v>8</v>
      </c>
      <c r="L419" t="s">
        <v>7</v>
      </c>
      <c r="M419" t="s">
        <v>16</v>
      </c>
    </row>
    <row r="420" spans="1:13" x14ac:dyDescent="0.25">
      <c r="A420" s="9">
        <v>46076</v>
      </c>
      <c r="B420">
        <v>2026</v>
      </c>
      <c r="C420" t="s">
        <v>32</v>
      </c>
      <c r="D420">
        <v>2975</v>
      </c>
      <c r="E420">
        <v>29</v>
      </c>
      <c r="F420">
        <v>46</v>
      </c>
      <c r="G420">
        <v>115</v>
      </c>
      <c r="H420" s="10">
        <v>344.1</v>
      </c>
      <c r="I420">
        <v>0</v>
      </c>
      <c r="J420" t="s">
        <v>13</v>
      </c>
      <c r="K420" t="s">
        <v>2</v>
      </c>
      <c r="L420" t="s">
        <v>10</v>
      </c>
      <c r="M420" t="s">
        <v>16</v>
      </c>
    </row>
    <row r="421" spans="1:13" x14ac:dyDescent="0.25">
      <c r="A421" s="9">
        <v>46077</v>
      </c>
      <c r="B421">
        <v>2026</v>
      </c>
      <c r="C421" t="s">
        <v>32</v>
      </c>
      <c r="D421">
        <v>3199</v>
      </c>
      <c r="E421">
        <v>10</v>
      </c>
      <c r="F421">
        <v>48</v>
      </c>
      <c r="G421">
        <v>115</v>
      </c>
      <c r="H421" s="10">
        <v>2337.7199999999998</v>
      </c>
      <c r="I421">
        <v>0</v>
      </c>
      <c r="J421" t="s">
        <v>13</v>
      </c>
      <c r="K421" t="s">
        <v>11</v>
      </c>
      <c r="L421" t="s">
        <v>10</v>
      </c>
      <c r="M421" t="s">
        <v>16</v>
      </c>
    </row>
    <row r="422" spans="1:13" x14ac:dyDescent="0.25">
      <c r="A422" s="9">
        <v>46078</v>
      </c>
      <c r="B422">
        <v>2026</v>
      </c>
      <c r="C422" t="s">
        <v>32</v>
      </c>
      <c r="D422">
        <v>2439</v>
      </c>
      <c r="E422">
        <v>20</v>
      </c>
      <c r="F422">
        <v>23</v>
      </c>
      <c r="G422">
        <v>192</v>
      </c>
      <c r="H422" s="10">
        <v>566.28</v>
      </c>
      <c r="I422">
        <v>0</v>
      </c>
      <c r="J422" t="s">
        <v>13</v>
      </c>
      <c r="K422" t="s">
        <v>11</v>
      </c>
      <c r="L422" t="s">
        <v>1</v>
      </c>
      <c r="M422" t="s">
        <v>16</v>
      </c>
    </row>
    <row r="423" spans="1:13" x14ac:dyDescent="0.25">
      <c r="A423" s="9">
        <v>46079</v>
      </c>
      <c r="B423">
        <v>2026</v>
      </c>
      <c r="C423" t="s">
        <v>32</v>
      </c>
      <c r="D423">
        <v>4263</v>
      </c>
      <c r="E423">
        <v>11</v>
      </c>
      <c r="F423">
        <v>29</v>
      </c>
      <c r="G423">
        <v>373</v>
      </c>
      <c r="H423" s="10">
        <v>806.04</v>
      </c>
      <c r="I423">
        <v>0</v>
      </c>
      <c r="J423" t="s">
        <v>13</v>
      </c>
      <c r="K423" t="s">
        <v>18</v>
      </c>
      <c r="L423" t="s">
        <v>17</v>
      </c>
      <c r="M423" t="s">
        <v>16</v>
      </c>
    </row>
    <row r="424" spans="1:13" x14ac:dyDescent="0.25">
      <c r="A424" s="9">
        <v>46080</v>
      </c>
      <c r="B424">
        <v>2026</v>
      </c>
      <c r="C424" t="s">
        <v>32</v>
      </c>
      <c r="D424">
        <v>4323</v>
      </c>
      <c r="E424">
        <v>19</v>
      </c>
      <c r="F424">
        <v>39</v>
      </c>
      <c r="G424">
        <v>143</v>
      </c>
      <c r="H424" s="10">
        <v>1789.77</v>
      </c>
      <c r="I424">
        <v>0</v>
      </c>
      <c r="J424" t="s">
        <v>3</v>
      </c>
      <c r="K424" t="s">
        <v>2</v>
      </c>
      <c r="L424" t="s">
        <v>17</v>
      </c>
      <c r="M424" t="s">
        <v>16</v>
      </c>
    </row>
    <row r="425" spans="1:13" x14ac:dyDescent="0.25">
      <c r="A425" s="9">
        <v>46081</v>
      </c>
      <c r="B425">
        <v>2026</v>
      </c>
      <c r="C425" t="s">
        <v>32</v>
      </c>
      <c r="D425">
        <v>4110</v>
      </c>
      <c r="E425">
        <v>36</v>
      </c>
      <c r="F425">
        <v>44</v>
      </c>
      <c r="G425">
        <v>304</v>
      </c>
      <c r="H425" s="10">
        <v>2255.0700000000002</v>
      </c>
      <c r="I425">
        <v>0</v>
      </c>
      <c r="J425" t="s">
        <v>13</v>
      </c>
      <c r="K425" t="s">
        <v>18</v>
      </c>
      <c r="L425" t="s">
        <v>17</v>
      </c>
      <c r="M425" t="s">
        <v>16</v>
      </c>
    </row>
    <row r="426" spans="1:13" x14ac:dyDescent="0.25">
      <c r="A426" s="9">
        <v>46082</v>
      </c>
      <c r="B426">
        <v>2026</v>
      </c>
      <c r="C426" t="s">
        <v>31</v>
      </c>
      <c r="D426">
        <v>3075</v>
      </c>
      <c r="E426">
        <v>21</v>
      </c>
      <c r="F426">
        <v>10</v>
      </c>
      <c r="G426">
        <v>417</v>
      </c>
      <c r="H426" s="10">
        <v>2375.0100000000002</v>
      </c>
      <c r="I426">
        <v>0</v>
      </c>
      <c r="J426" t="s">
        <v>3</v>
      </c>
      <c r="K426" t="s">
        <v>2</v>
      </c>
      <c r="L426" t="s">
        <v>15</v>
      </c>
      <c r="M426" t="s">
        <v>16</v>
      </c>
    </row>
    <row r="427" spans="1:13" x14ac:dyDescent="0.25">
      <c r="A427" s="9">
        <v>46083</v>
      </c>
      <c r="B427">
        <v>2026</v>
      </c>
      <c r="C427" t="s">
        <v>31</v>
      </c>
      <c r="D427">
        <v>3579</v>
      </c>
      <c r="E427">
        <v>15</v>
      </c>
      <c r="F427">
        <v>44</v>
      </c>
      <c r="G427">
        <v>152</v>
      </c>
      <c r="H427" s="10">
        <v>988.16</v>
      </c>
      <c r="I427">
        <v>0</v>
      </c>
      <c r="J427" t="s">
        <v>13</v>
      </c>
      <c r="K427" t="s">
        <v>2</v>
      </c>
      <c r="L427" t="s">
        <v>10</v>
      </c>
      <c r="M427" t="s">
        <v>20</v>
      </c>
    </row>
    <row r="428" spans="1:13" x14ac:dyDescent="0.25">
      <c r="A428" s="9">
        <v>46084</v>
      </c>
      <c r="B428">
        <v>2026</v>
      </c>
      <c r="C428" t="s">
        <v>31</v>
      </c>
      <c r="D428">
        <v>3044</v>
      </c>
      <c r="E428">
        <v>11</v>
      </c>
      <c r="F428">
        <v>44</v>
      </c>
      <c r="G428">
        <v>117</v>
      </c>
      <c r="H428" s="10">
        <v>2083.67</v>
      </c>
      <c r="I428">
        <v>0</v>
      </c>
      <c r="J428" t="s">
        <v>13</v>
      </c>
      <c r="K428" t="s">
        <v>18</v>
      </c>
      <c r="L428" t="s">
        <v>21</v>
      </c>
      <c r="M428" t="s">
        <v>20</v>
      </c>
    </row>
    <row r="429" spans="1:13" x14ac:dyDescent="0.25">
      <c r="A429" s="9">
        <v>46085</v>
      </c>
      <c r="B429">
        <v>2026</v>
      </c>
      <c r="C429" t="s">
        <v>31</v>
      </c>
      <c r="D429">
        <v>3210</v>
      </c>
      <c r="E429">
        <v>17</v>
      </c>
      <c r="F429">
        <v>36</v>
      </c>
      <c r="G429">
        <v>92</v>
      </c>
      <c r="H429" s="10">
        <v>1420.84</v>
      </c>
      <c r="I429">
        <v>0</v>
      </c>
      <c r="J429" t="s">
        <v>13</v>
      </c>
      <c r="K429" t="s">
        <v>18</v>
      </c>
      <c r="L429" t="s">
        <v>15</v>
      </c>
      <c r="M429" t="s">
        <v>20</v>
      </c>
    </row>
    <row r="430" spans="1:13" x14ac:dyDescent="0.25">
      <c r="A430" s="9">
        <v>46086</v>
      </c>
      <c r="B430">
        <v>2026</v>
      </c>
      <c r="C430" t="s">
        <v>31</v>
      </c>
      <c r="D430">
        <v>844</v>
      </c>
      <c r="E430">
        <v>32</v>
      </c>
      <c r="F430">
        <v>2</v>
      </c>
      <c r="G430">
        <v>30</v>
      </c>
      <c r="H430" s="10">
        <v>1183.33</v>
      </c>
      <c r="I430">
        <v>0</v>
      </c>
      <c r="J430" t="s">
        <v>3</v>
      </c>
      <c r="K430" t="s">
        <v>11</v>
      </c>
      <c r="L430" t="s">
        <v>7</v>
      </c>
      <c r="M430" t="s">
        <v>20</v>
      </c>
    </row>
    <row r="431" spans="1:13" x14ac:dyDescent="0.25">
      <c r="A431" s="9">
        <v>46087</v>
      </c>
      <c r="B431">
        <v>2026</v>
      </c>
      <c r="C431" t="s">
        <v>31</v>
      </c>
      <c r="D431">
        <v>3347</v>
      </c>
      <c r="E431">
        <v>26</v>
      </c>
      <c r="F431">
        <v>31</v>
      </c>
      <c r="G431">
        <v>257</v>
      </c>
      <c r="H431" s="10">
        <v>1335.75</v>
      </c>
      <c r="I431">
        <v>0</v>
      </c>
      <c r="J431" t="s">
        <v>3</v>
      </c>
      <c r="K431" t="s">
        <v>18</v>
      </c>
      <c r="L431" t="s">
        <v>10</v>
      </c>
      <c r="M431" t="s">
        <v>20</v>
      </c>
    </row>
    <row r="432" spans="1:13" x14ac:dyDescent="0.25">
      <c r="A432" s="9">
        <v>46088</v>
      </c>
      <c r="B432">
        <v>2026</v>
      </c>
      <c r="C432" t="s">
        <v>31</v>
      </c>
      <c r="D432">
        <v>4667</v>
      </c>
      <c r="E432">
        <v>45</v>
      </c>
      <c r="F432">
        <v>28</v>
      </c>
      <c r="G432">
        <v>331</v>
      </c>
      <c r="H432" s="10">
        <v>727.75</v>
      </c>
      <c r="I432">
        <v>0</v>
      </c>
      <c r="J432" t="s">
        <v>13</v>
      </c>
      <c r="K432" t="s">
        <v>18</v>
      </c>
      <c r="L432" t="s">
        <v>10</v>
      </c>
      <c r="M432" t="s">
        <v>20</v>
      </c>
    </row>
    <row r="433" spans="1:13" x14ac:dyDescent="0.25">
      <c r="A433" s="9">
        <v>46089</v>
      </c>
      <c r="B433">
        <v>2026</v>
      </c>
      <c r="C433" t="s">
        <v>31</v>
      </c>
      <c r="D433">
        <v>2356</v>
      </c>
      <c r="E433">
        <v>34</v>
      </c>
      <c r="F433">
        <v>42</v>
      </c>
      <c r="G433">
        <v>172</v>
      </c>
      <c r="H433" s="10">
        <v>1167.8</v>
      </c>
      <c r="I433">
        <v>0</v>
      </c>
      <c r="J433" t="s">
        <v>13</v>
      </c>
      <c r="K433" t="s">
        <v>18</v>
      </c>
      <c r="L433" t="s">
        <v>7</v>
      </c>
      <c r="M433" t="s">
        <v>20</v>
      </c>
    </row>
    <row r="434" spans="1:13" x14ac:dyDescent="0.25">
      <c r="A434" s="9">
        <v>46090</v>
      </c>
      <c r="B434">
        <v>2026</v>
      </c>
      <c r="C434" t="s">
        <v>31</v>
      </c>
      <c r="D434">
        <v>4901</v>
      </c>
      <c r="E434">
        <v>27</v>
      </c>
      <c r="F434">
        <v>38</v>
      </c>
      <c r="G434">
        <v>62</v>
      </c>
      <c r="H434" s="10">
        <v>22.34</v>
      </c>
      <c r="I434">
        <v>0</v>
      </c>
      <c r="J434" t="s">
        <v>3</v>
      </c>
      <c r="K434" t="s">
        <v>18</v>
      </c>
      <c r="L434" t="s">
        <v>21</v>
      </c>
      <c r="M434" t="s">
        <v>20</v>
      </c>
    </row>
    <row r="435" spans="1:13" x14ac:dyDescent="0.25">
      <c r="A435" s="9">
        <v>46091</v>
      </c>
      <c r="B435">
        <v>2026</v>
      </c>
      <c r="C435" t="s">
        <v>31</v>
      </c>
      <c r="D435">
        <v>4181</v>
      </c>
      <c r="E435">
        <v>22</v>
      </c>
      <c r="F435">
        <v>38</v>
      </c>
      <c r="G435">
        <v>278</v>
      </c>
      <c r="H435" s="10">
        <v>1319.95</v>
      </c>
      <c r="I435">
        <v>0</v>
      </c>
      <c r="J435" t="s">
        <v>3</v>
      </c>
      <c r="K435" t="s">
        <v>11</v>
      </c>
      <c r="L435" t="s">
        <v>17</v>
      </c>
      <c r="M435" t="s">
        <v>20</v>
      </c>
    </row>
    <row r="436" spans="1:13" x14ac:dyDescent="0.25">
      <c r="A436" s="9">
        <v>46092</v>
      </c>
      <c r="B436">
        <v>2026</v>
      </c>
      <c r="C436" t="s">
        <v>31</v>
      </c>
      <c r="D436">
        <v>3024</v>
      </c>
      <c r="E436">
        <v>21</v>
      </c>
      <c r="F436">
        <v>40</v>
      </c>
      <c r="G436">
        <v>335</v>
      </c>
      <c r="H436" s="10">
        <v>205.24</v>
      </c>
      <c r="I436">
        <v>0</v>
      </c>
      <c r="J436" t="s">
        <v>3</v>
      </c>
      <c r="K436" t="s">
        <v>11</v>
      </c>
      <c r="L436" t="s">
        <v>7</v>
      </c>
      <c r="M436" t="s">
        <v>20</v>
      </c>
    </row>
    <row r="437" spans="1:13" x14ac:dyDescent="0.25">
      <c r="A437" s="9">
        <v>46093</v>
      </c>
      <c r="B437">
        <v>2026</v>
      </c>
      <c r="C437" t="s">
        <v>31</v>
      </c>
      <c r="D437">
        <v>3717</v>
      </c>
      <c r="E437">
        <v>23</v>
      </c>
      <c r="F437">
        <v>24</v>
      </c>
      <c r="G437">
        <v>48</v>
      </c>
      <c r="H437" s="10">
        <v>2047.57</v>
      </c>
      <c r="I437">
        <v>0</v>
      </c>
      <c r="J437" t="s">
        <v>3</v>
      </c>
      <c r="K437" t="s">
        <v>11</v>
      </c>
      <c r="L437" t="s">
        <v>10</v>
      </c>
      <c r="M437" t="s">
        <v>20</v>
      </c>
    </row>
    <row r="438" spans="1:13" x14ac:dyDescent="0.25">
      <c r="A438" s="9">
        <v>46094</v>
      </c>
      <c r="B438">
        <v>2026</v>
      </c>
      <c r="C438" t="s">
        <v>31</v>
      </c>
      <c r="D438">
        <v>2524</v>
      </c>
      <c r="E438">
        <v>19</v>
      </c>
      <c r="F438">
        <v>30</v>
      </c>
      <c r="G438">
        <v>31</v>
      </c>
      <c r="H438" s="10">
        <v>1923.8</v>
      </c>
      <c r="I438">
        <v>0</v>
      </c>
      <c r="J438" t="s">
        <v>13</v>
      </c>
      <c r="K438" t="s">
        <v>18</v>
      </c>
      <c r="L438" t="s">
        <v>10</v>
      </c>
      <c r="M438" t="s">
        <v>20</v>
      </c>
    </row>
    <row r="439" spans="1:13" x14ac:dyDescent="0.25">
      <c r="A439" s="9">
        <v>46095</v>
      </c>
      <c r="B439">
        <v>2026</v>
      </c>
      <c r="C439" t="s">
        <v>31</v>
      </c>
      <c r="D439">
        <v>5035</v>
      </c>
      <c r="E439">
        <v>9</v>
      </c>
      <c r="F439">
        <v>43</v>
      </c>
      <c r="G439">
        <v>102</v>
      </c>
      <c r="H439" s="10">
        <v>1397.3</v>
      </c>
      <c r="I439">
        <v>0</v>
      </c>
      <c r="J439" t="s">
        <v>13</v>
      </c>
      <c r="K439" t="s">
        <v>2</v>
      </c>
      <c r="L439" t="s">
        <v>21</v>
      </c>
      <c r="M439" t="s">
        <v>20</v>
      </c>
    </row>
    <row r="440" spans="1:13" x14ac:dyDescent="0.25">
      <c r="A440" s="9">
        <v>46096</v>
      </c>
      <c r="B440">
        <v>2026</v>
      </c>
      <c r="C440" t="s">
        <v>31</v>
      </c>
      <c r="D440">
        <v>3328</v>
      </c>
      <c r="E440">
        <v>17</v>
      </c>
      <c r="F440">
        <v>31</v>
      </c>
      <c r="G440">
        <v>125</v>
      </c>
      <c r="H440" s="10">
        <v>2181.14</v>
      </c>
      <c r="I440">
        <v>55</v>
      </c>
      <c r="J440" t="s">
        <v>13</v>
      </c>
      <c r="K440" t="s">
        <v>18</v>
      </c>
      <c r="L440" t="s">
        <v>17</v>
      </c>
      <c r="M440" t="s">
        <v>20</v>
      </c>
    </row>
    <row r="441" spans="1:13" x14ac:dyDescent="0.25">
      <c r="A441" s="9">
        <v>46097</v>
      </c>
      <c r="B441">
        <v>2026</v>
      </c>
      <c r="C441" t="s">
        <v>31</v>
      </c>
      <c r="D441">
        <v>3286</v>
      </c>
      <c r="E441">
        <v>16</v>
      </c>
      <c r="F441">
        <v>29</v>
      </c>
      <c r="G441">
        <v>62</v>
      </c>
      <c r="H441" s="10">
        <v>2345.81</v>
      </c>
      <c r="I441">
        <v>0</v>
      </c>
      <c r="J441" t="s">
        <v>13</v>
      </c>
      <c r="K441" t="s">
        <v>18</v>
      </c>
      <c r="L441" t="s">
        <v>7</v>
      </c>
      <c r="M441" t="s">
        <v>20</v>
      </c>
    </row>
    <row r="442" spans="1:13" x14ac:dyDescent="0.25">
      <c r="A442" s="9">
        <v>46098</v>
      </c>
      <c r="B442">
        <v>2026</v>
      </c>
      <c r="C442" t="s">
        <v>31</v>
      </c>
      <c r="D442">
        <v>3581</v>
      </c>
      <c r="E442">
        <v>28</v>
      </c>
      <c r="F442">
        <v>13</v>
      </c>
      <c r="G442">
        <v>390</v>
      </c>
      <c r="H442" s="10">
        <v>1052.05</v>
      </c>
      <c r="I442">
        <v>0</v>
      </c>
      <c r="J442" t="s">
        <v>13</v>
      </c>
      <c r="K442" t="s">
        <v>18</v>
      </c>
      <c r="L442" t="s">
        <v>10</v>
      </c>
      <c r="M442" t="s">
        <v>20</v>
      </c>
    </row>
    <row r="443" spans="1:13" x14ac:dyDescent="0.25">
      <c r="A443" s="9">
        <v>46099</v>
      </c>
      <c r="B443">
        <v>2026</v>
      </c>
      <c r="C443" t="s">
        <v>31</v>
      </c>
      <c r="D443">
        <v>2672</v>
      </c>
      <c r="E443">
        <v>29</v>
      </c>
      <c r="F443">
        <v>43</v>
      </c>
      <c r="G443">
        <v>104</v>
      </c>
      <c r="H443" s="10">
        <v>567.74</v>
      </c>
      <c r="I443">
        <v>0</v>
      </c>
      <c r="J443" t="s">
        <v>13</v>
      </c>
      <c r="K443" t="s">
        <v>11</v>
      </c>
      <c r="L443" t="s">
        <v>10</v>
      </c>
      <c r="M443" t="s">
        <v>20</v>
      </c>
    </row>
    <row r="444" spans="1:13" x14ac:dyDescent="0.25">
      <c r="A444" s="9">
        <v>46100</v>
      </c>
      <c r="B444">
        <v>2026</v>
      </c>
      <c r="C444" t="s">
        <v>31</v>
      </c>
      <c r="D444">
        <v>1788</v>
      </c>
      <c r="E444">
        <v>31</v>
      </c>
      <c r="F444">
        <v>7</v>
      </c>
      <c r="G444">
        <v>91</v>
      </c>
      <c r="H444" s="10">
        <v>772.68</v>
      </c>
      <c r="I444">
        <v>0</v>
      </c>
      <c r="J444" t="s">
        <v>13</v>
      </c>
      <c r="K444" t="s">
        <v>18</v>
      </c>
      <c r="L444" t="s">
        <v>21</v>
      </c>
      <c r="M444" t="s">
        <v>20</v>
      </c>
    </row>
    <row r="445" spans="1:13" x14ac:dyDescent="0.25">
      <c r="A445" s="9">
        <v>46101</v>
      </c>
      <c r="B445">
        <v>2026</v>
      </c>
      <c r="C445" t="s">
        <v>31</v>
      </c>
      <c r="D445">
        <v>3276</v>
      </c>
      <c r="E445">
        <v>26</v>
      </c>
      <c r="F445">
        <v>41</v>
      </c>
      <c r="G445">
        <v>94</v>
      </c>
      <c r="H445" s="10">
        <v>1311.37</v>
      </c>
      <c r="I445">
        <v>0</v>
      </c>
      <c r="J445" t="s">
        <v>3</v>
      </c>
      <c r="K445" t="s">
        <v>11</v>
      </c>
      <c r="L445" t="s">
        <v>17</v>
      </c>
      <c r="M445" t="s">
        <v>30</v>
      </c>
    </row>
    <row r="446" spans="1:13" x14ac:dyDescent="0.25">
      <c r="A446" s="9">
        <v>46102</v>
      </c>
      <c r="B446">
        <v>2026</v>
      </c>
      <c r="C446" t="s">
        <v>31</v>
      </c>
      <c r="D446">
        <v>3166</v>
      </c>
      <c r="E446">
        <v>7</v>
      </c>
      <c r="F446">
        <v>29</v>
      </c>
      <c r="G446">
        <v>240</v>
      </c>
      <c r="H446" s="10">
        <v>1014.28</v>
      </c>
      <c r="I446">
        <v>0</v>
      </c>
      <c r="J446" t="s">
        <v>3</v>
      </c>
      <c r="K446" t="s">
        <v>11</v>
      </c>
      <c r="L446" t="s">
        <v>17</v>
      </c>
      <c r="M446" t="s">
        <v>30</v>
      </c>
    </row>
    <row r="447" spans="1:13" x14ac:dyDescent="0.25">
      <c r="A447" s="9">
        <v>46103</v>
      </c>
      <c r="B447">
        <v>2026</v>
      </c>
      <c r="C447" t="s">
        <v>31</v>
      </c>
      <c r="D447">
        <v>3498</v>
      </c>
      <c r="E447">
        <v>24</v>
      </c>
      <c r="F447">
        <v>36</v>
      </c>
      <c r="G447">
        <v>267</v>
      </c>
      <c r="H447" s="10">
        <v>805.38</v>
      </c>
      <c r="I447">
        <v>0</v>
      </c>
      <c r="J447" t="s">
        <v>13</v>
      </c>
      <c r="K447" t="s">
        <v>18</v>
      </c>
      <c r="L447" t="s">
        <v>7</v>
      </c>
      <c r="M447" t="s">
        <v>30</v>
      </c>
    </row>
    <row r="448" spans="1:13" x14ac:dyDescent="0.25">
      <c r="A448" s="9">
        <v>46104</v>
      </c>
      <c r="B448">
        <v>2026</v>
      </c>
      <c r="C448" t="s">
        <v>31</v>
      </c>
      <c r="D448">
        <v>3899</v>
      </c>
      <c r="E448">
        <v>7</v>
      </c>
      <c r="F448">
        <v>25</v>
      </c>
      <c r="G448">
        <v>93</v>
      </c>
      <c r="H448" s="10">
        <v>2208.7800000000002</v>
      </c>
      <c r="I448">
        <v>0</v>
      </c>
      <c r="J448" t="s">
        <v>13</v>
      </c>
      <c r="K448" t="s">
        <v>18</v>
      </c>
      <c r="L448" t="s">
        <v>17</v>
      </c>
      <c r="M448" t="s">
        <v>30</v>
      </c>
    </row>
    <row r="449" spans="1:13" x14ac:dyDescent="0.25">
      <c r="A449" s="9">
        <v>46105</v>
      </c>
      <c r="B449">
        <v>2026</v>
      </c>
      <c r="C449" t="s">
        <v>31</v>
      </c>
      <c r="D449">
        <v>2072</v>
      </c>
      <c r="E449">
        <v>18</v>
      </c>
      <c r="F449">
        <v>14</v>
      </c>
      <c r="G449">
        <v>296</v>
      </c>
      <c r="H449" s="10">
        <v>1258.6500000000001</v>
      </c>
      <c r="I449">
        <v>0</v>
      </c>
      <c r="J449" t="s">
        <v>3</v>
      </c>
      <c r="K449" t="s">
        <v>18</v>
      </c>
      <c r="L449" t="s">
        <v>1</v>
      </c>
      <c r="M449" t="s">
        <v>30</v>
      </c>
    </row>
    <row r="450" spans="1:13" x14ac:dyDescent="0.25">
      <c r="A450" s="9">
        <v>46106</v>
      </c>
      <c r="B450">
        <v>2026</v>
      </c>
      <c r="C450" t="s">
        <v>31</v>
      </c>
      <c r="D450">
        <v>3059</v>
      </c>
      <c r="E450">
        <v>22</v>
      </c>
      <c r="F450">
        <v>30</v>
      </c>
      <c r="G450">
        <v>434</v>
      </c>
      <c r="H450" s="10">
        <v>957.97</v>
      </c>
      <c r="I450">
        <v>0</v>
      </c>
      <c r="J450" t="s">
        <v>13</v>
      </c>
      <c r="K450" t="s">
        <v>18</v>
      </c>
      <c r="L450" t="s">
        <v>7</v>
      </c>
      <c r="M450" t="s">
        <v>30</v>
      </c>
    </row>
    <row r="451" spans="1:13" x14ac:dyDescent="0.25">
      <c r="A451" s="9">
        <v>46107</v>
      </c>
      <c r="B451">
        <v>2026</v>
      </c>
      <c r="C451" t="s">
        <v>31</v>
      </c>
      <c r="D451">
        <v>2263</v>
      </c>
      <c r="E451">
        <v>36</v>
      </c>
      <c r="F451">
        <v>39</v>
      </c>
      <c r="G451">
        <v>291</v>
      </c>
      <c r="H451" s="10">
        <v>1473.29</v>
      </c>
      <c r="I451">
        <v>0</v>
      </c>
      <c r="J451" t="s">
        <v>13</v>
      </c>
      <c r="K451" t="s">
        <v>18</v>
      </c>
      <c r="L451" t="s">
        <v>15</v>
      </c>
      <c r="M451" t="s">
        <v>30</v>
      </c>
    </row>
    <row r="452" spans="1:13" x14ac:dyDescent="0.25">
      <c r="A452" s="9">
        <v>46108</v>
      </c>
      <c r="B452">
        <v>2026</v>
      </c>
      <c r="C452" t="s">
        <v>31</v>
      </c>
      <c r="D452">
        <v>3243</v>
      </c>
      <c r="E452">
        <v>13</v>
      </c>
      <c r="F452">
        <v>15</v>
      </c>
      <c r="G452">
        <v>268</v>
      </c>
      <c r="H452" s="10">
        <v>1113.8599999999999</v>
      </c>
      <c r="I452">
        <v>0</v>
      </c>
      <c r="J452" t="s">
        <v>3</v>
      </c>
      <c r="K452" t="s">
        <v>18</v>
      </c>
      <c r="L452" t="s">
        <v>7</v>
      </c>
      <c r="M452" t="s">
        <v>30</v>
      </c>
    </row>
    <row r="453" spans="1:13" x14ac:dyDescent="0.25">
      <c r="A453" s="9">
        <v>46109</v>
      </c>
      <c r="B453">
        <v>2026</v>
      </c>
      <c r="C453" t="s">
        <v>31</v>
      </c>
      <c r="D453">
        <v>3274</v>
      </c>
      <c r="E453">
        <v>36</v>
      </c>
      <c r="F453">
        <v>36</v>
      </c>
      <c r="G453">
        <v>403</v>
      </c>
      <c r="H453" s="10">
        <v>328.4</v>
      </c>
      <c r="I453">
        <v>0</v>
      </c>
      <c r="J453" t="s">
        <v>13</v>
      </c>
      <c r="K453" t="s">
        <v>11</v>
      </c>
      <c r="L453" t="s">
        <v>10</v>
      </c>
      <c r="M453" t="s">
        <v>30</v>
      </c>
    </row>
    <row r="454" spans="1:13" x14ac:dyDescent="0.25">
      <c r="A454" s="9">
        <v>46110</v>
      </c>
      <c r="B454">
        <v>2026</v>
      </c>
      <c r="C454" t="s">
        <v>31</v>
      </c>
      <c r="D454">
        <v>4217</v>
      </c>
      <c r="E454">
        <v>31</v>
      </c>
      <c r="F454">
        <v>36</v>
      </c>
      <c r="G454">
        <v>369</v>
      </c>
      <c r="H454" s="10">
        <v>828.78</v>
      </c>
      <c r="I454">
        <v>0</v>
      </c>
      <c r="J454" t="s">
        <v>13</v>
      </c>
      <c r="K454" t="s">
        <v>2</v>
      </c>
      <c r="L454" t="s">
        <v>7</v>
      </c>
      <c r="M454" t="s">
        <v>30</v>
      </c>
    </row>
    <row r="455" spans="1:13" x14ac:dyDescent="0.25">
      <c r="A455" s="9">
        <v>46111</v>
      </c>
      <c r="B455">
        <v>2026</v>
      </c>
      <c r="C455" t="s">
        <v>31</v>
      </c>
      <c r="D455">
        <v>3368</v>
      </c>
      <c r="E455">
        <v>28</v>
      </c>
      <c r="F455">
        <v>19</v>
      </c>
      <c r="G455">
        <v>412</v>
      </c>
      <c r="H455" s="10">
        <v>680.52</v>
      </c>
      <c r="I455">
        <v>0</v>
      </c>
      <c r="J455" t="s">
        <v>13</v>
      </c>
      <c r="K455" t="s">
        <v>18</v>
      </c>
      <c r="L455" t="s">
        <v>15</v>
      </c>
      <c r="M455" t="s">
        <v>30</v>
      </c>
    </row>
    <row r="456" spans="1:13" x14ac:dyDescent="0.25">
      <c r="A456" s="9">
        <v>46112</v>
      </c>
      <c r="B456">
        <v>2026</v>
      </c>
      <c r="C456" t="s">
        <v>31</v>
      </c>
      <c r="D456">
        <v>2910</v>
      </c>
      <c r="E456">
        <v>26</v>
      </c>
      <c r="F456">
        <v>48</v>
      </c>
      <c r="G456">
        <v>179</v>
      </c>
      <c r="H456" s="10">
        <v>867.5</v>
      </c>
      <c r="I456">
        <v>0</v>
      </c>
      <c r="J456" t="s">
        <v>3</v>
      </c>
      <c r="K456" t="s">
        <v>18</v>
      </c>
      <c r="L456" t="s">
        <v>7</v>
      </c>
      <c r="M456" t="s">
        <v>30</v>
      </c>
    </row>
    <row r="457" spans="1:13" x14ac:dyDescent="0.25">
      <c r="A457" s="9">
        <v>46113</v>
      </c>
      <c r="B457">
        <v>2026</v>
      </c>
      <c r="C457" t="s">
        <v>27</v>
      </c>
      <c r="D457">
        <v>3033</v>
      </c>
      <c r="E457">
        <v>34</v>
      </c>
      <c r="F457">
        <v>10</v>
      </c>
      <c r="G457">
        <v>419</v>
      </c>
      <c r="H457" s="10">
        <v>279.98</v>
      </c>
      <c r="I457">
        <v>0</v>
      </c>
      <c r="J457" t="s">
        <v>13</v>
      </c>
      <c r="K457" t="s">
        <v>18</v>
      </c>
      <c r="L457" t="s">
        <v>10</v>
      </c>
      <c r="M457" t="s">
        <v>30</v>
      </c>
    </row>
    <row r="458" spans="1:13" x14ac:dyDescent="0.25">
      <c r="A458" s="9">
        <v>46114</v>
      </c>
      <c r="B458">
        <v>2026</v>
      </c>
      <c r="C458" t="s">
        <v>27</v>
      </c>
      <c r="D458">
        <v>450</v>
      </c>
      <c r="E458">
        <v>34</v>
      </c>
      <c r="F458">
        <v>10</v>
      </c>
      <c r="G458">
        <v>65</v>
      </c>
      <c r="H458" s="10">
        <v>2429.6799999999998</v>
      </c>
      <c r="I458">
        <v>0</v>
      </c>
      <c r="J458" t="s">
        <v>13</v>
      </c>
      <c r="K458" t="s">
        <v>18</v>
      </c>
      <c r="L458" t="s">
        <v>21</v>
      </c>
      <c r="M458" t="s">
        <v>30</v>
      </c>
    </row>
    <row r="459" spans="1:13" x14ac:dyDescent="0.25">
      <c r="A459" s="9">
        <v>46115</v>
      </c>
      <c r="B459">
        <v>2026</v>
      </c>
      <c r="C459" t="s">
        <v>27</v>
      </c>
      <c r="D459">
        <v>2578</v>
      </c>
      <c r="E459">
        <v>23</v>
      </c>
      <c r="F459">
        <v>25</v>
      </c>
      <c r="G459">
        <v>23</v>
      </c>
      <c r="H459" s="10">
        <v>2186.67</v>
      </c>
      <c r="I459">
        <v>0</v>
      </c>
      <c r="J459" t="s">
        <v>13</v>
      </c>
      <c r="K459" t="s">
        <v>18</v>
      </c>
      <c r="L459" t="s">
        <v>7</v>
      </c>
      <c r="M459" t="s">
        <v>30</v>
      </c>
    </row>
    <row r="460" spans="1:13" x14ac:dyDescent="0.25">
      <c r="A460" s="9">
        <v>46116</v>
      </c>
      <c r="B460">
        <v>2026</v>
      </c>
      <c r="C460" t="s">
        <v>27</v>
      </c>
      <c r="D460">
        <v>3312</v>
      </c>
      <c r="E460">
        <v>19</v>
      </c>
      <c r="F460">
        <v>25</v>
      </c>
      <c r="G460">
        <v>260</v>
      </c>
      <c r="H460" s="10">
        <v>2329.85</v>
      </c>
      <c r="I460">
        <v>0</v>
      </c>
      <c r="J460" t="s">
        <v>3</v>
      </c>
      <c r="K460" t="s">
        <v>11</v>
      </c>
      <c r="L460" t="s">
        <v>7</v>
      </c>
      <c r="M460" t="s">
        <v>30</v>
      </c>
    </row>
    <row r="461" spans="1:13" x14ac:dyDescent="0.25">
      <c r="A461" s="9">
        <v>46117</v>
      </c>
      <c r="B461">
        <v>2026</v>
      </c>
      <c r="C461" t="s">
        <v>27</v>
      </c>
      <c r="D461">
        <v>2854</v>
      </c>
      <c r="E461">
        <v>28</v>
      </c>
      <c r="F461">
        <v>22</v>
      </c>
      <c r="G461">
        <v>359</v>
      </c>
      <c r="H461" s="10">
        <v>1782.35</v>
      </c>
      <c r="I461">
        <v>0</v>
      </c>
      <c r="J461" t="s">
        <v>13</v>
      </c>
      <c r="K461" t="s">
        <v>18</v>
      </c>
      <c r="L461" t="s">
        <v>1</v>
      </c>
      <c r="M461" t="s">
        <v>30</v>
      </c>
    </row>
    <row r="462" spans="1:13" x14ac:dyDescent="0.25">
      <c r="A462" s="9">
        <v>46118</v>
      </c>
      <c r="B462">
        <v>2026</v>
      </c>
      <c r="C462" t="s">
        <v>27</v>
      </c>
      <c r="D462">
        <v>3707</v>
      </c>
      <c r="E462">
        <v>30</v>
      </c>
      <c r="F462">
        <v>26</v>
      </c>
      <c r="G462">
        <v>144</v>
      </c>
      <c r="H462" s="10">
        <v>1644.63</v>
      </c>
      <c r="I462">
        <v>0</v>
      </c>
      <c r="J462" t="s">
        <v>13</v>
      </c>
      <c r="K462" t="s">
        <v>18</v>
      </c>
      <c r="L462" t="s">
        <v>7</v>
      </c>
      <c r="M462" t="s">
        <v>30</v>
      </c>
    </row>
    <row r="463" spans="1:13" x14ac:dyDescent="0.25">
      <c r="A463" s="9">
        <v>46119</v>
      </c>
      <c r="B463">
        <v>2026</v>
      </c>
      <c r="C463" t="s">
        <v>27</v>
      </c>
      <c r="D463">
        <v>3341</v>
      </c>
      <c r="E463">
        <v>7</v>
      </c>
      <c r="F463">
        <v>38</v>
      </c>
      <c r="G463">
        <v>179</v>
      </c>
      <c r="H463" s="10">
        <v>2415.37</v>
      </c>
      <c r="I463">
        <v>0</v>
      </c>
      <c r="J463" t="s">
        <v>3</v>
      </c>
      <c r="K463" t="s">
        <v>11</v>
      </c>
      <c r="L463" t="s">
        <v>1</v>
      </c>
      <c r="M463" t="s">
        <v>28</v>
      </c>
    </row>
    <row r="464" spans="1:13" x14ac:dyDescent="0.25">
      <c r="A464" s="9">
        <v>46120</v>
      </c>
      <c r="B464">
        <v>2026</v>
      </c>
      <c r="C464" t="s">
        <v>27</v>
      </c>
      <c r="D464">
        <v>2527</v>
      </c>
      <c r="E464">
        <v>25</v>
      </c>
      <c r="F464">
        <v>12</v>
      </c>
      <c r="G464">
        <v>230</v>
      </c>
      <c r="H464" s="10">
        <v>1442.97</v>
      </c>
      <c r="I464">
        <v>0</v>
      </c>
      <c r="J464" t="s">
        <v>13</v>
      </c>
      <c r="K464" t="s">
        <v>18</v>
      </c>
      <c r="L464" t="s">
        <v>1</v>
      </c>
      <c r="M464" t="s">
        <v>28</v>
      </c>
    </row>
    <row r="465" spans="1:13" x14ac:dyDescent="0.25">
      <c r="A465" s="9">
        <v>46121</v>
      </c>
      <c r="B465">
        <v>2026</v>
      </c>
      <c r="C465" t="s">
        <v>27</v>
      </c>
      <c r="D465">
        <v>1382</v>
      </c>
      <c r="E465">
        <v>23</v>
      </c>
      <c r="F465">
        <v>40</v>
      </c>
      <c r="G465">
        <v>281</v>
      </c>
      <c r="H465" s="10">
        <v>528.80999999999995</v>
      </c>
      <c r="I465">
        <v>0</v>
      </c>
      <c r="J465" t="s">
        <v>13</v>
      </c>
      <c r="K465" t="s">
        <v>18</v>
      </c>
      <c r="L465" t="s">
        <v>7</v>
      </c>
      <c r="M465" t="s">
        <v>28</v>
      </c>
    </row>
    <row r="466" spans="1:13" x14ac:dyDescent="0.25">
      <c r="A466" s="9">
        <v>46122</v>
      </c>
      <c r="B466">
        <v>2026</v>
      </c>
      <c r="C466" t="s">
        <v>27</v>
      </c>
      <c r="D466">
        <v>3471</v>
      </c>
      <c r="E466">
        <v>21</v>
      </c>
      <c r="F466">
        <v>29</v>
      </c>
      <c r="G466">
        <v>24</v>
      </c>
      <c r="H466" s="10">
        <v>1489.61</v>
      </c>
      <c r="I466">
        <v>0</v>
      </c>
      <c r="J466" t="s">
        <v>13</v>
      </c>
      <c r="K466" t="s">
        <v>18</v>
      </c>
      <c r="L466" t="s">
        <v>15</v>
      </c>
      <c r="M466" t="s">
        <v>28</v>
      </c>
    </row>
    <row r="467" spans="1:13" x14ac:dyDescent="0.25">
      <c r="A467" s="9">
        <v>46123</v>
      </c>
      <c r="B467">
        <v>2026</v>
      </c>
      <c r="C467" t="s">
        <v>27</v>
      </c>
      <c r="D467">
        <v>4133</v>
      </c>
      <c r="E467">
        <v>27</v>
      </c>
      <c r="F467">
        <v>71</v>
      </c>
      <c r="G467">
        <v>435</v>
      </c>
      <c r="H467" s="10">
        <v>1521.71</v>
      </c>
      <c r="I467">
        <v>0</v>
      </c>
      <c r="J467" t="s">
        <v>3</v>
      </c>
      <c r="K467" t="s">
        <v>18</v>
      </c>
      <c r="L467" t="s">
        <v>10</v>
      </c>
      <c r="M467" t="s">
        <v>28</v>
      </c>
    </row>
    <row r="468" spans="1:13" x14ac:dyDescent="0.25">
      <c r="A468" s="9">
        <v>46124</v>
      </c>
      <c r="B468">
        <v>2026</v>
      </c>
      <c r="C468" t="s">
        <v>27</v>
      </c>
      <c r="D468">
        <v>1382</v>
      </c>
      <c r="E468">
        <v>25</v>
      </c>
      <c r="F468">
        <v>24</v>
      </c>
      <c r="G468">
        <v>380</v>
      </c>
      <c r="H468" s="10">
        <v>833.6</v>
      </c>
      <c r="I468">
        <v>0</v>
      </c>
      <c r="J468" t="s">
        <v>13</v>
      </c>
      <c r="K468" t="s">
        <v>2</v>
      </c>
      <c r="L468" t="s">
        <v>1</v>
      </c>
      <c r="M468" t="s">
        <v>28</v>
      </c>
    </row>
    <row r="469" spans="1:13" x14ac:dyDescent="0.25">
      <c r="A469" s="9">
        <v>46125</v>
      </c>
      <c r="B469">
        <v>2026</v>
      </c>
      <c r="C469" t="s">
        <v>27</v>
      </c>
      <c r="D469">
        <v>4961</v>
      </c>
      <c r="E469">
        <v>36</v>
      </c>
      <c r="F469">
        <v>76</v>
      </c>
      <c r="G469">
        <v>418</v>
      </c>
      <c r="H469" s="10">
        <v>2117.29</v>
      </c>
      <c r="I469">
        <v>0</v>
      </c>
      <c r="J469" t="s">
        <v>3</v>
      </c>
      <c r="K469" t="s">
        <v>18</v>
      </c>
      <c r="L469" t="s">
        <v>1</v>
      </c>
      <c r="M469" t="s">
        <v>28</v>
      </c>
    </row>
    <row r="470" spans="1:13" x14ac:dyDescent="0.25">
      <c r="A470" s="9">
        <v>46126</v>
      </c>
      <c r="B470">
        <v>2026</v>
      </c>
      <c r="C470" t="s">
        <v>27</v>
      </c>
      <c r="D470">
        <v>3980</v>
      </c>
      <c r="E470">
        <v>12</v>
      </c>
      <c r="F470">
        <v>37</v>
      </c>
      <c r="G470">
        <v>51</v>
      </c>
      <c r="H470" s="10">
        <v>221.57</v>
      </c>
      <c r="I470">
        <v>0</v>
      </c>
      <c r="J470" t="s">
        <v>13</v>
      </c>
      <c r="K470" t="s">
        <v>8</v>
      </c>
      <c r="L470" t="s">
        <v>21</v>
      </c>
      <c r="M470" t="s">
        <v>28</v>
      </c>
    </row>
    <row r="471" spans="1:13" x14ac:dyDescent="0.25">
      <c r="A471" s="9">
        <v>46127</v>
      </c>
      <c r="B471">
        <v>2026</v>
      </c>
      <c r="C471" t="s">
        <v>27</v>
      </c>
      <c r="D471">
        <v>3468</v>
      </c>
      <c r="E471">
        <v>21</v>
      </c>
      <c r="F471">
        <v>37</v>
      </c>
      <c r="G471">
        <v>151</v>
      </c>
      <c r="H471" s="10">
        <v>533.46</v>
      </c>
      <c r="I471">
        <v>55</v>
      </c>
      <c r="J471" t="s">
        <v>13</v>
      </c>
      <c r="K471" t="s">
        <v>18</v>
      </c>
      <c r="L471" t="s">
        <v>1</v>
      </c>
      <c r="M471" t="s">
        <v>28</v>
      </c>
    </row>
    <row r="472" spans="1:13" x14ac:dyDescent="0.25">
      <c r="A472" s="9">
        <v>46128</v>
      </c>
      <c r="B472">
        <v>2026</v>
      </c>
      <c r="C472" t="s">
        <v>27</v>
      </c>
      <c r="D472">
        <v>2618</v>
      </c>
      <c r="E472">
        <v>25</v>
      </c>
      <c r="F472">
        <v>48</v>
      </c>
      <c r="G472">
        <v>272</v>
      </c>
      <c r="H472" s="10">
        <v>589</v>
      </c>
      <c r="I472">
        <v>0</v>
      </c>
      <c r="J472" t="s">
        <v>3</v>
      </c>
      <c r="K472" t="s">
        <v>18</v>
      </c>
      <c r="L472" t="s">
        <v>10</v>
      </c>
      <c r="M472" t="s">
        <v>28</v>
      </c>
    </row>
    <row r="473" spans="1:13" x14ac:dyDescent="0.25">
      <c r="A473" s="9">
        <v>46129</v>
      </c>
      <c r="B473">
        <v>2026</v>
      </c>
      <c r="C473" t="s">
        <v>27</v>
      </c>
      <c r="D473">
        <v>1332</v>
      </c>
      <c r="E473">
        <v>17</v>
      </c>
      <c r="F473">
        <v>8</v>
      </c>
      <c r="G473">
        <v>270</v>
      </c>
      <c r="H473" s="10">
        <v>2035.83</v>
      </c>
      <c r="I473">
        <v>0</v>
      </c>
      <c r="J473" t="s">
        <v>13</v>
      </c>
      <c r="K473" t="s">
        <v>2</v>
      </c>
      <c r="L473" t="s">
        <v>1</v>
      </c>
      <c r="M473" t="s">
        <v>28</v>
      </c>
    </row>
    <row r="474" spans="1:13" x14ac:dyDescent="0.25">
      <c r="A474" s="9">
        <v>46130</v>
      </c>
      <c r="B474">
        <v>2026</v>
      </c>
      <c r="C474" t="s">
        <v>27</v>
      </c>
      <c r="D474">
        <v>2150</v>
      </c>
      <c r="E474">
        <v>27</v>
      </c>
      <c r="F474">
        <v>23</v>
      </c>
      <c r="G474">
        <v>319</v>
      </c>
      <c r="H474" s="10">
        <v>2217.96</v>
      </c>
      <c r="I474">
        <v>0</v>
      </c>
      <c r="J474" t="s">
        <v>13</v>
      </c>
      <c r="K474" t="s">
        <v>18</v>
      </c>
      <c r="L474" t="s">
        <v>21</v>
      </c>
      <c r="M474" t="s">
        <v>28</v>
      </c>
    </row>
    <row r="475" spans="1:13" x14ac:dyDescent="0.25">
      <c r="A475" s="9">
        <v>46131</v>
      </c>
      <c r="B475">
        <v>2026</v>
      </c>
      <c r="C475" t="s">
        <v>27</v>
      </c>
      <c r="D475">
        <v>2889</v>
      </c>
      <c r="E475">
        <v>30</v>
      </c>
      <c r="F475">
        <v>29</v>
      </c>
      <c r="G475">
        <v>438</v>
      </c>
      <c r="H475" s="10">
        <v>812.11</v>
      </c>
      <c r="I475">
        <v>0</v>
      </c>
      <c r="J475" t="s">
        <v>3</v>
      </c>
      <c r="K475" t="s">
        <v>18</v>
      </c>
      <c r="L475" t="s">
        <v>17</v>
      </c>
      <c r="M475" t="s">
        <v>28</v>
      </c>
    </row>
    <row r="476" spans="1:13" x14ac:dyDescent="0.25">
      <c r="A476" s="9">
        <v>46132</v>
      </c>
      <c r="B476">
        <v>2026</v>
      </c>
      <c r="C476" t="s">
        <v>27</v>
      </c>
      <c r="D476">
        <v>2145</v>
      </c>
      <c r="E476">
        <v>21</v>
      </c>
      <c r="F476">
        <v>37</v>
      </c>
      <c r="G476">
        <v>290</v>
      </c>
      <c r="H476" s="10">
        <v>831.52</v>
      </c>
      <c r="I476">
        <v>0</v>
      </c>
      <c r="J476" t="s">
        <v>13</v>
      </c>
      <c r="K476" t="s">
        <v>11</v>
      </c>
      <c r="L476" t="s">
        <v>15</v>
      </c>
      <c r="M476" t="s">
        <v>28</v>
      </c>
    </row>
    <row r="477" spans="1:13" x14ac:dyDescent="0.25">
      <c r="A477" s="9">
        <v>46133</v>
      </c>
      <c r="B477">
        <v>2026</v>
      </c>
      <c r="C477" t="s">
        <v>27</v>
      </c>
      <c r="D477">
        <v>2825</v>
      </c>
      <c r="E477">
        <v>23</v>
      </c>
      <c r="F477">
        <v>15</v>
      </c>
      <c r="G477">
        <v>98</v>
      </c>
      <c r="H477" s="10">
        <v>1059.78</v>
      </c>
      <c r="I477">
        <v>0</v>
      </c>
      <c r="J477" t="s">
        <v>13</v>
      </c>
      <c r="K477" t="s">
        <v>18</v>
      </c>
      <c r="L477" t="s">
        <v>15</v>
      </c>
      <c r="M477" t="s">
        <v>28</v>
      </c>
    </row>
    <row r="478" spans="1:13" x14ac:dyDescent="0.25">
      <c r="A478" s="9">
        <v>46134</v>
      </c>
      <c r="B478">
        <v>2026</v>
      </c>
      <c r="C478" t="s">
        <v>27</v>
      </c>
      <c r="D478">
        <v>4110</v>
      </c>
      <c r="E478">
        <v>24</v>
      </c>
      <c r="F478">
        <v>49</v>
      </c>
      <c r="G478">
        <v>34</v>
      </c>
      <c r="H478" s="10">
        <v>201.92</v>
      </c>
      <c r="I478">
        <v>0</v>
      </c>
      <c r="J478" t="s">
        <v>3</v>
      </c>
      <c r="K478" t="s">
        <v>18</v>
      </c>
      <c r="L478" t="s">
        <v>15</v>
      </c>
      <c r="M478" t="s">
        <v>28</v>
      </c>
    </row>
    <row r="479" spans="1:13" x14ac:dyDescent="0.25">
      <c r="A479" s="9">
        <v>46135</v>
      </c>
      <c r="B479">
        <v>2026</v>
      </c>
      <c r="C479" t="s">
        <v>27</v>
      </c>
      <c r="D479">
        <v>3509</v>
      </c>
      <c r="E479">
        <v>25</v>
      </c>
      <c r="F479">
        <v>7</v>
      </c>
      <c r="G479">
        <v>327</v>
      </c>
      <c r="H479" s="10">
        <v>7.56</v>
      </c>
      <c r="I479">
        <v>0</v>
      </c>
      <c r="J479" t="s">
        <v>3</v>
      </c>
      <c r="K479" t="s">
        <v>11</v>
      </c>
      <c r="L479" t="s">
        <v>17</v>
      </c>
      <c r="M479" t="s">
        <v>26</v>
      </c>
    </row>
    <row r="480" spans="1:13" x14ac:dyDescent="0.25">
      <c r="A480" s="9">
        <v>46136</v>
      </c>
      <c r="B480">
        <v>2026</v>
      </c>
      <c r="C480" t="s">
        <v>27</v>
      </c>
      <c r="D480">
        <v>3087</v>
      </c>
      <c r="E480">
        <v>10</v>
      </c>
      <c r="F480">
        <v>18</v>
      </c>
      <c r="G480">
        <v>211</v>
      </c>
      <c r="H480" s="10">
        <v>1799.22</v>
      </c>
      <c r="I480">
        <v>0</v>
      </c>
      <c r="J480" t="s">
        <v>13</v>
      </c>
      <c r="K480" t="s">
        <v>11</v>
      </c>
      <c r="L480" t="s">
        <v>7</v>
      </c>
      <c r="M480" t="s">
        <v>26</v>
      </c>
    </row>
    <row r="481" spans="1:13" x14ac:dyDescent="0.25">
      <c r="A481" s="9">
        <v>46137</v>
      </c>
      <c r="B481">
        <v>2026</v>
      </c>
      <c r="C481" t="s">
        <v>27</v>
      </c>
      <c r="D481">
        <v>1923</v>
      </c>
      <c r="E481">
        <v>19</v>
      </c>
      <c r="F481">
        <v>29</v>
      </c>
      <c r="G481">
        <v>62</v>
      </c>
      <c r="H481" s="10">
        <v>1932.31</v>
      </c>
      <c r="I481">
        <v>0</v>
      </c>
      <c r="J481" t="s">
        <v>3</v>
      </c>
      <c r="K481" t="s">
        <v>18</v>
      </c>
      <c r="L481" t="s">
        <v>10</v>
      </c>
      <c r="M481" t="s">
        <v>26</v>
      </c>
    </row>
    <row r="482" spans="1:13" x14ac:dyDescent="0.25">
      <c r="A482" s="9">
        <v>46138</v>
      </c>
      <c r="B482">
        <v>2026</v>
      </c>
      <c r="C482" t="s">
        <v>27</v>
      </c>
      <c r="D482">
        <v>4184</v>
      </c>
      <c r="E482">
        <v>31</v>
      </c>
      <c r="F482">
        <v>32</v>
      </c>
      <c r="G482">
        <v>154</v>
      </c>
      <c r="H482" s="10">
        <v>387.65</v>
      </c>
      <c r="I482">
        <v>0</v>
      </c>
      <c r="J482" t="s">
        <v>3</v>
      </c>
      <c r="K482" t="s">
        <v>18</v>
      </c>
      <c r="L482" t="s">
        <v>21</v>
      </c>
      <c r="M482" t="s">
        <v>26</v>
      </c>
    </row>
    <row r="483" spans="1:13" x14ac:dyDescent="0.25">
      <c r="A483" s="9">
        <v>46139</v>
      </c>
      <c r="B483">
        <v>2026</v>
      </c>
      <c r="C483" t="s">
        <v>27</v>
      </c>
      <c r="D483">
        <v>3228</v>
      </c>
      <c r="E483">
        <v>25</v>
      </c>
      <c r="F483">
        <v>8</v>
      </c>
      <c r="G483">
        <v>356</v>
      </c>
      <c r="H483" s="10">
        <v>304.2</v>
      </c>
      <c r="I483">
        <v>0</v>
      </c>
      <c r="J483" t="s">
        <v>13</v>
      </c>
      <c r="K483" t="s">
        <v>18</v>
      </c>
      <c r="L483" t="s">
        <v>10</v>
      </c>
      <c r="M483" t="s">
        <v>26</v>
      </c>
    </row>
    <row r="484" spans="1:13" x14ac:dyDescent="0.25">
      <c r="A484" s="9">
        <v>46140</v>
      </c>
      <c r="B484">
        <v>2026</v>
      </c>
      <c r="C484" t="s">
        <v>27</v>
      </c>
      <c r="D484">
        <v>3218</v>
      </c>
      <c r="E484">
        <v>35</v>
      </c>
      <c r="F484">
        <v>14</v>
      </c>
      <c r="G484">
        <v>358</v>
      </c>
      <c r="H484" s="10">
        <v>1703.24</v>
      </c>
      <c r="I484">
        <v>0</v>
      </c>
      <c r="J484" t="s">
        <v>3</v>
      </c>
      <c r="K484" t="s">
        <v>18</v>
      </c>
      <c r="L484" t="s">
        <v>10</v>
      </c>
      <c r="M484" t="s">
        <v>26</v>
      </c>
    </row>
    <row r="485" spans="1:13" x14ac:dyDescent="0.25">
      <c r="A485" s="9">
        <v>46141</v>
      </c>
      <c r="B485">
        <v>2026</v>
      </c>
      <c r="C485" t="s">
        <v>27</v>
      </c>
      <c r="D485">
        <v>3403</v>
      </c>
      <c r="E485">
        <v>22</v>
      </c>
      <c r="F485">
        <v>35</v>
      </c>
      <c r="G485">
        <v>304</v>
      </c>
      <c r="H485" s="10">
        <v>1169.42</v>
      </c>
      <c r="I485">
        <v>0</v>
      </c>
      <c r="J485" t="s">
        <v>13</v>
      </c>
      <c r="K485" t="s">
        <v>11</v>
      </c>
      <c r="L485" t="s">
        <v>7</v>
      </c>
      <c r="M485" t="s">
        <v>26</v>
      </c>
    </row>
    <row r="486" spans="1:13" x14ac:dyDescent="0.25">
      <c r="A486" s="9">
        <v>46142</v>
      </c>
      <c r="B486">
        <v>2026</v>
      </c>
      <c r="C486" t="s">
        <v>27</v>
      </c>
      <c r="D486">
        <v>1962</v>
      </c>
      <c r="E486">
        <v>32</v>
      </c>
      <c r="F486">
        <v>22</v>
      </c>
      <c r="G486">
        <v>416</v>
      </c>
      <c r="H486" s="10">
        <v>2335.5500000000002</v>
      </c>
      <c r="I486">
        <v>0</v>
      </c>
      <c r="J486" t="s">
        <v>13</v>
      </c>
      <c r="K486" t="s">
        <v>2</v>
      </c>
      <c r="L486" t="s">
        <v>10</v>
      </c>
      <c r="M486" t="s">
        <v>26</v>
      </c>
    </row>
    <row r="487" spans="1:13" x14ac:dyDescent="0.25">
      <c r="A487" s="9">
        <v>46143</v>
      </c>
      <c r="B487">
        <v>2026</v>
      </c>
      <c r="C487" t="s">
        <v>23</v>
      </c>
      <c r="D487">
        <v>2248</v>
      </c>
      <c r="E487">
        <v>21</v>
      </c>
      <c r="F487">
        <v>47</v>
      </c>
      <c r="G487">
        <v>276</v>
      </c>
      <c r="H487" s="10">
        <v>957.01</v>
      </c>
      <c r="I487">
        <v>0</v>
      </c>
      <c r="J487" t="s">
        <v>13</v>
      </c>
      <c r="K487" t="s">
        <v>18</v>
      </c>
      <c r="L487" t="s">
        <v>7</v>
      </c>
      <c r="M487" t="s">
        <v>26</v>
      </c>
    </row>
    <row r="488" spans="1:13" x14ac:dyDescent="0.25">
      <c r="A488" s="9">
        <v>46144</v>
      </c>
      <c r="B488">
        <v>2026</v>
      </c>
      <c r="C488" t="s">
        <v>23</v>
      </c>
      <c r="D488">
        <v>3745</v>
      </c>
      <c r="E488">
        <v>22</v>
      </c>
      <c r="F488">
        <v>23</v>
      </c>
      <c r="G488">
        <v>27</v>
      </c>
      <c r="H488" s="10">
        <v>1684.75</v>
      </c>
      <c r="I488">
        <v>0</v>
      </c>
      <c r="J488" t="s">
        <v>3</v>
      </c>
      <c r="K488" t="s">
        <v>18</v>
      </c>
      <c r="L488" t="s">
        <v>7</v>
      </c>
      <c r="M488" t="s">
        <v>26</v>
      </c>
    </row>
    <row r="489" spans="1:13" x14ac:dyDescent="0.25">
      <c r="A489" s="9">
        <v>46145</v>
      </c>
      <c r="B489">
        <v>2026</v>
      </c>
      <c r="C489" t="s">
        <v>23</v>
      </c>
      <c r="D489">
        <v>3297</v>
      </c>
      <c r="E489">
        <v>19</v>
      </c>
      <c r="F489">
        <v>12</v>
      </c>
      <c r="G489">
        <v>184</v>
      </c>
      <c r="H489" s="10">
        <v>2238.59</v>
      </c>
      <c r="I489">
        <v>0</v>
      </c>
      <c r="J489" t="s">
        <v>3</v>
      </c>
      <c r="K489" t="s">
        <v>18</v>
      </c>
      <c r="L489" t="s">
        <v>1</v>
      </c>
      <c r="M489" t="s">
        <v>26</v>
      </c>
    </row>
    <row r="490" spans="1:13" x14ac:dyDescent="0.25">
      <c r="A490" s="9">
        <v>46146</v>
      </c>
      <c r="B490">
        <v>2026</v>
      </c>
      <c r="C490" t="s">
        <v>23</v>
      </c>
      <c r="D490">
        <v>4876</v>
      </c>
      <c r="E490">
        <v>24</v>
      </c>
      <c r="F490">
        <v>41</v>
      </c>
      <c r="G490">
        <v>190</v>
      </c>
      <c r="H490" s="10">
        <v>2110.4299999999998</v>
      </c>
      <c r="I490">
        <v>0</v>
      </c>
      <c r="J490" t="s">
        <v>3</v>
      </c>
      <c r="K490" t="s">
        <v>11</v>
      </c>
      <c r="L490" t="s">
        <v>7</v>
      </c>
      <c r="M490" t="s">
        <v>26</v>
      </c>
    </row>
    <row r="491" spans="1:13" x14ac:dyDescent="0.25">
      <c r="A491" s="9">
        <v>46147</v>
      </c>
      <c r="B491">
        <v>2026</v>
      </c>
      <c r="C491" t="s">
        <v>23</v>
      </c>
      <c r="D491">
        <v>2625</v>
      </c>
      <c r="E491">
        <v>24</v>
      </c>
      <c r="F491">
        <v>23</v>
      </c>
      <c r="G491">
        <v>49</v>
      </c>
      <c r="H491" s="10">
        <v>483.76</v>
      </c>
      <c r="I491">
        <v>0</v>
      </c>
      <c r="J491" t="s">
        <v>13</v>
      </c>
      <c r="K491" t="s">
        <v>18</v>
      </c>
      <c r="L491" t="s">
        <v>1</v>
      </c>
      <c r="M491" t="s">
        <v>26</v>
      </c>
    </row>
    <row r="492" spans="1:13" x14ac:dyDescent="0.25">
      <c r="A492" s="9">
        <v>46148</v>
      </c>
      <c r="B492">
        <v>2026</v>
      </c>
      <c r="C492" t="s">
        <v>23</v>
      </c>
      <c r="D492">
        <v>2109</v>
      </c>
      <c r="E492">
        <v>32</v>
      </c>
      <c r="F492">
        <v>29</v>
      </c>
      <c r="G492">
        <v>101</v>
      </c>
      <c r="H492" s="10">
        <v>281.25</v>
      </c>
      <c r="I492">
        <v>0</v>
      </c>
      <c r="J492" t="s">
        <v>13</v>
      </c>
      <c r="K492" t="s">
        <v>18</v>
      </c>
      <c r="L492" t="s">
        <v>17</v>
      </c>
      <c r="M492" t="s">
        <v>26</v>
      </c>
    </row>
    <row r="493" spans="1:13" x14ac:dyDescent="0.25">
      <c r="A493" s="9">
        <v>46149</v>
      </c>
      <c r="B493">
        <v>2026</v>
      </c>
      <c r="C493" t="s">
        <v>23</v>
      </c>
      <c r="D493">
        <v>4171</v>
      </c>
      <c r="E493">
        <v>19</v>
      </c>
      <c r="F493">
        <v>28</v>
      </c>
      <c r="G493">
        <v>429</v>
      </c>
      <c r="H493" s="10">
        <v>1385.44</v>
      </c>
      <c r="I493">
        <v>0</v>
      </c>
      <c r="J493" t="s">
        <v>3</v>
      </c>
      <c r="K493" t="s">
        <v>18</v>
      </c>
      <c r="L493" t="s">
        <v>1</v>
      </c>
      <c r="M493" t="s">
        <v>26</v>
      </c>
    </row>
    <row r="494" spans="1:13" x14ac:dyDescent="0.25">
      <c r="A494" s="9">
        <v>46150</v>
      </c>
      <c r="B494">
        <v>2026</v>
      </c>
      <c r="C494" t="s">
        <v>23</v>
      </c>
      <c r="D494">
        <v>3127</v>
      </c>
      <c r="E494">
        <v>23</v>
      </c>
      <c r="F494">
        <v>14</v>
      </c>
      <c r="G494">
        <v>359</v>
      </c>
      <c r="H494" s="10">
        <v>313.95999999999998</v>
      </c>
      <c r="I494">
        <v>0</v>
      </c>
      <c r="J494" t="s">
        <v>13</v>
      </c>
      <c r="K494" t="s">
        <v>11</v>
      </c>
      <c r="L494" t="s">
        <v>15</v>
      </c>
      <c r="M494" t="s">
        <v>24</v>
      </c>
    </row>
    <row r="495" spans="1:13" x14ac:dyDescent="0.25">
      <c r="A495" s="9">
        <v>46151</v>
      </c>
      <c r="B495">
        <v>2026</v>
      </c>
      <c r="C495" t="s">
        <v>23</v>
      </c>
      <c r="D495">
        <v>2953</v>
      </c>
      <c r="E495">
        <v>22</v>
      </c>
      <c r="F495">
        <v>31</v>
      </c>
      <c r="G495">
        <v>197</v>
      </c>
      <c r="H495" s="10">
        <v>1545.19</v>
      </c>
      <c r="I495">
        <v>0</v>
      </c>
      <c r="J495" t="s">
        <v>13</v>
      </c>
      <c r="K495" t="s">
        <v>2</v>
      </c>
      <c r="L495" t="s">
        <v>10</v>
      </c>
      <c r="M495" t="s">
        <v>24</v>
      </c>
    </row>
    <row r="496" spans="1:13" x14ac:dyDescent="0.25">
      <c r="A496" s="9">
        <v>46152</v>
      </c>
      <c r="B496">
        <v>2026</v>
      </c>
      <c r="C496" t="s">
        <v>23</v>
      </c>
      <c r="D496">
        <v>2740</v>
      </c>
      <c r="E496">
        <v>23</v>
      </c>
      <c r="F496">
        <v>39</v>
      </c>
      <c r="G496">
        <v>250</v>
      </c>
      <c r="H496" s="10">
        <v>1492.48</v>
      </c>
      <c r="I496">
        <v>0</v>
      </c>
      <c r="J496" t="s">
        <v>13</v>
      </c>
      <c r="K496" t="s">
        <v>8</v>
      </c>
      <c r="L496" t="s">
        <v>17</v>
      </c>
      <c r="M496" t="s">
        <v>24</v>
      </c>
    </row>
    <row r="497" spans="1:13" x14ac:dyDescent="0.25">
      <c r="A497" s="9">
        <v>46153</v>
      </c>
      <c r="B497">
        <v>2026</v>
      </c>
      <c r="C497" t="s">
        <v>23</v>
      </c>
      <c r="D497">
        <v>1349</v>
      </c>
      <c r="E497">
        <v>19</v>
      </c>
      <c r="F497">
        <v>29</v>
      </c>
      <c r="G497">
        <v>382</v>
      </c>
      <c r="H497" s="10">
        <v>705.57</v>
      </c>
      <c r="I497">
        <v>0</v>
      </c>
      <c r="J497" t="s">
        <v>13</v>
      </c>
      <c r="K497" t="s">
        <v>18</v>
      </c>
      <c r="L497" t="s">
        <v>7</v>
      </c>
      <c r="M497" t="s">
        <v>24</v>
      </c>
    </row>
    <row r="498" spans="1:13" x14ac:dyDescent="0.25">
      <c r="A498" s="9">
        <v>46154</v>
      </c>
      <c r="B498">
        <v>2026</v>
      </c>
      <c r="C498" t="s">
        <v>23</v>
      </c>
      <c r="D498">
        <v>3467</v>
      </c>
      <c r="E498">
        <v>36</v>
      </c>
      <c r="F498">
        <v>63</v>
      </c>
      <c r="G498">
        <v>368</v>
      </c>
      <c r="H498" s="10">
        <v>2300.91</v>
      </c>
      <c r="I498">
        <v>0</v>
      </c>
      <c r="J498" t="s">
        <v>3</v>
      </c>
      <c r="K498" t="s">
        <v>18</v>
      </c>
      <c r="L498" t="s">
        <v>10</v>
      </c>
      <c r="M498" t="s">
        <v>24</v>
      </c>
    </row>
    <row r="499" spans="1:13" x14ac:dyDescent="0.25">
      <c r="A499" s="9">
        <v>46155</v>
      </c>
      <c r="B499">
        <v>2026</v>
      </c>
      <c r="C499" t="s">
        <v>23</v>
      </c>
      <c r="D499">
        <v>2958</v>
      </c>
      <c r="E499">
        <v>22</v>
      </c>
      <c r="F499">
        <v>26</v>
      </c>
      <c r="G499">
        <v>265</v>
      </c>
      <c r="H499" s="10">
        <v>1734.12</v>
      </c>
      <c r="I499">
        <v>0</v>
      </c>
      <c r="J499" t="s">
        <v>3</v>
      </c>
      <c r="K499" t="s">
        <v>11</v>
      </c>
      <c r="L499" t="s">
        <v>17</v>
      </c>
      <c r="M499" t="s">
        <v>24</v>
      </c>
    </row>
    <row r="500" spans="1:13" x14ac:dyDescent="0.25">
      <c r="A500" s="9">
        <v>46156</v>
      </c>
      <c r="B500">
        <v>2026</v>
      </c>
      <c r="C500" t="s">
        <v>23</v>
      </c>
      <c r="D500">
        <v>2243</v>
      </c>
      <c r="E500">
        <v>10</v>
      </c>
      <c r="F500">
        <v>13</v>
      </c>
      <c r="G500">
        <v>302</v>
      </c>
      <c r="H500" s="10">
        <v>1196.67</v>
      </c>
      <c r="I500">
        <v>0</v>
      </c>
      <c r="J500" t="s">
        <v>13</v>
      </c>
      <c r="K500" t="s">
        <v>18</v>
      </c>
      <c r="L500" t="s">
        <v>15</v>
      </c>
      <c r="M500" t="s">
        <v>24</v>
      </c>
    </row>
    <row r="501" spans="1:13" x14ac:dyDescent="0.25">
      <c r="A501" s="9">
        <v>46157</v>
      </c>
      <c r="B501">
        <v>2026</v>
      </c>
      <c r="C501" t="s">
        <v>23</v>
      </c>
      <c r="D501">
        <v>3528</v>
      </c>
      <c r="E501">
        <v>24</v>
      </c>
      <c r="F501">
        <v>25</v>
      </c>
      <c r="G501">
        <v>303</v>
      </c>
      <c r="H501" s="10">
        <v>1230.08</v>
      </c>
      <c r="I501">
        <v>0</v>
      </c>
      <c r="J501" t="s">
        <v>13</v>
      </c>
      <c r="K501" t="s">
        <v>11</v>
      </c>
      <c r="L501" t="s">
        <v>1</v>
      </c>
      <c r="M501" t="s">
        <v>24</v>
      </c>
    </row>
    <row r="502" spans="1:13" x14ac:dyDescent="0.25">
      <c r="A502" s="9">
        <v>46158</v>
      </c>
      <c r="B502">
        <v>2026</v>
      </c>
      <c r="C502" t="s">
        <v>23</v>
      </c>
      <c r="D502">
        <v>3375</v>
      </c>
      <c r="E502">
        <v>22</v>
      </c>
      <c r="F502">
        <v>37</v>
      </c>
      <c r="G502">
        <v>194</v>
      </c>
      <c r="H502" s="10">
        <v>715.2</v>
      </c>
      <c r="I502">
        <v>0</v>
      </c>
      <c r="J502" t="s">
        <v>3</v>
      </c>
      <c r="K502" t="s">
        <v>11</v>
      </c>
      <c r="L502" t="s">
        <v>10</v>
      </c>
      <c r="M502" t="s">
        <v>24</v>
      </c>
    </row>
    <row r="503" spans="1:13" x14ac:dyDescent="0.25">
      <c r="A503" s="9">
        <v>46159</v>
      </c>
      <c r="B503">
        <v>2026</v>
      </c>
      <c r="C503" t="s">
        <v>23</v>
      </c>
      <c r="D503">
        <v>3004</v>
      </c>
      <c r="E503">
        <v>32</v>
      </c>
      <c r="F503">
        <v>56</v>
      </c>
      <c r="G503">
        <v>231</v>
      </c>
      <c r="H503" s="10">
        <v>1834.87</v>
      </c>
      <c r="I503">
        <v>0</v>
      </c>
      <c r="J503" t="s">
        <v>3</v>
      </c>
      <c r="K503" t="s">
        <v>11</v>
      </c>
      <c r="L503" t="s">
        <v>15</v>
      </c>
      <c r="M503" t="s">
        <v>24</v>
      </c>
    </row>
    <row r="504" spans="1:13" x14ac:dyDescent="0.25">
      <c r="A504" s="9">
        <v>46160</v>
      </c>
      <c r="B504">
        <v>2026</v>
      </c>
      <c r="C504" t="s">
        <v>23</v>
      </c>
      <c r="D504">
        <v>3274</v>
      </c>
      <c r="E504">
        <v>21</v>
      </c>
      <c r="F504">
        <v>37</v>
      </c>
      <c r="G504">
        <v>61</v>
      </c>
      <c r="H504" s="10">
        <v>832.47</v>
      </c>
      <c r="I504">
        <v>0</v>
      </c>
      <c r="J504" t="s">
        <v>3</v>
      </c>
      <c r="K504" t="s">
        <v>18</v>
      </c>
      <c r="L504" t="s">
        <v>7</v>
      </c>
      <c r="M504" t="s">
        <v>24</v>
      </c>
    </row>
    <row r="505" spans="1:13" x14ac:dyDescent="0.25">
      <c r="A505" s="9">
        <v>46161</v>
      </c>
      <c r="B505">
        <v>2026</v>
      </c>
      <c r="C505" t="s">
        <v>23</v>
      </c>
      <c r="D505">
        <v>2887</v>
      </c>
      <c r="E505">
        <v>28</v>
      </c>
      <c r="F505">
        <v>27</v>
      </c>
      <c r="G505">
        <v>275</v>
      </c>
      <c r="H505" s="10">
        <v>389.98</v>
      </c>
      <c r="I505">
        <v>0</v>
      </c>
      <c r="J505" t="s">
        <v>13</v>
      </c>
      <c r="K505" t="s">
        <v>11</v>
      </c>
      <c r="L505" t="s">
        <v>1</v>
      </c>
      <c r="M505" t="s">
        <v>24</v>
      </c>
    </row>
    <row r="506" spans="1:13" x14ac:dyDescent="0.25">
      <c r="A506" s="9">
        <v>46162</v>
      </c>
      <c r="B506">
        <v>2026</v>
      </c>
      <c r="C506" t="s">
        <v>23</v>
      </c>
      <c r="D506">
        <v>4588</v>
      </c>
      <c r="E506">
        <v>28</v>
      </c>
      <c r="F506">
        <v>13</v>
      </c>
      <c r="G506">
        <v>326</v>
      </c>
      <c r="H506" s="10">
        <v>931.32</v>
      </c>
      <c r="I506">
        <v>0</v>
      </c>
      <c r="J506" t="s">
        <v>13</v>
      </c>
      <c r="K506" t="s">
        <v>11</v>
      </c>
      <c r="L506" t="s">
        <v>15</v>
      </c>
      <c r="M506" t="s">
        <v>24</v>
      </c>
    </row>
    <row r="507" spans="1:13" x14ac:dyDescent="0.25">
      <c r="A507" s="9">
        <v>46163</v>
      </c>
      <c r="B507">
        <v>2026</v>
      </c>
      <c r="C507" t="s">
        <v>23</v>
      </c>
      <c r="D507">
        <v>2902</v>
      </c>
      <c r="E507">
        <v>27</v>
      </c>
      <c r="F507">
        <v>42</v>
      </c>
      <c r="G507">
        <v>258</v>
      </c>
      <c r="H507" s="10">
        <v>585.29</v>
      </c>
      <c r="I507">
        <v>0</v>
      </c>
      <c r="J507" t="s">
        <v>13</v>
      </c>
      <c r="K507" t="s">
        <v>11</v>
      </c>
      <c r="L507" t="s">
        <v>15</v>
      </c>
      <c r="M507" t="s">
        <v>24</v>
      </c>
    </row>
    <row r="508" spans="1:13" x14ac:dyDescent="0.25">
      <c r="A508" s="9">
        <v>46164</v>
      </c>
      <c r="B508">
        <v>2026</v>
      </c>
      <c r="C508" t="s">
        <v>23</v>
      </c>
      <c r="D508">
        <v>1873</v>
      </c>
      <c r="E508">
        <v>34</v>
      </c>
      <c r="F508">
        <v>8</v>
      </c>
      <c r="G508">
        <v>369</v>
      </c>
      <c r="H508" s="10">
        <v>863.97</v>
      </c>
      <c r="I508">
        <v>0</v>
      </c>
      <c r="J508" t="s">
        <v>13</v>
      </c>
      <c r="K508" t="s">
        <v>18</v>
      </c>
      <c r="L508" t="s">
        <v>7</v>
      </c>
      <c r="M508" t="s">
        <v>24</v>
      </c>
    </row>
    <row r="509" spans="1:13" x14ac:dyDescent="0.25">
      <c r="A509" s="9">
        <v>46165</v>
      </c>
      <c r="B509">
        <v>2026</v>
      </c>
      <c r="C509" t="s">
        <v>23</v>
      </c>
      <c r="D509">
        <v>3278</v>
      </c>
      <c r="E509">
        <v>17</v>
      </c>
      <c r="F509">
        <v>20</v>
      </c>
      <c r="G509">
        <v>156</v>
      </c>
      <c r="H509" s="10">
        <v>550</v>
      </c>
      <c r="I509">
        <v>0</v>
      </c>
      <c r="J509" t="s">
        <v>13</v>
      </c>
      <c r="K509" t="s">
        <v>8</v>
      </c>
      <c r="L509" t="s">
        <v>1</v>
      </c>
      <c r="M509" t="s">
        <v>9</v>
      </c>
    </row>
    <row r="510" spans="1:13" x14ac:dyDescent="0.25">
      <c r="A510" s="9">
        <v>46166</v>
      </c>
      <c r="B510">
        <v>2026</v>
      </c>
      <c r="C510" t="s">
        <v>23</v>
      </c>
      <c r="D510">
        <v>1456</v>
      </c>
      <c r="E510">
        <v>17</v>
      </c>
      <c r="F510">
        <v>32</v>
      </c>
      <c r="G510">
        <v>301</v>
      </c>
      <c r="H510" s="10">
        <v>2005</v>
      </c>
      <c r="I510">
        <v>0</v>
      </c>
      <c r="J510" t="s">
        <v>13</v>
      </c>
      <c r="K510" t="s">
        <v>2</v>
      </c>
      <c r="L510" t="s">
        <v>1</v>
      </c>
      <c r="M510" t="s">
        <v>20</v>
      </c>
    </row>
    <row r="511" spans="1:13" x14ac:dyDescent="0.25">
      <c r="A511" s="9">
        <v>46167</v>
      </c>
      <c r="B511">
        <v>2026</v>
      </c>
      <c r="C511" t="s">
        <v>23</v>
      </c>
      <c r="D511">
        <v>2210</v>
      </c>
      <c r="E511">
        <v>14</v>
      </c>
      <c r="F511">
        <v>51</v>
      </c>
      <c r="G511">
        <v>116</v>
      </c>
      <c r="H511" s="10">
        <v>1814</v>
      </c>
      <c r="I511">
        <v>0</v>
      </c>
      <c r="J511" t="s">
        <v>3</v>
      </c>
      <c r="K511" t="s">
        <v>18</v>
      </c>
      <c r="L511" t="s">
        <v>17</v>
      </c>
      <c r="M511" t="s">
        <v>9</v>
      </c>
    </row>
    <row r="512" spans="1:13" x14ac:dyDescent="0.25">
      <c r="A512" s="9">
        <v>46168</v>
      </c>
      <c r="B512">
        <v>2026</v>
      </c>
      <c r="C512" t="s">
        <v>23</v>
      </c>
      <c r="D512">
        <v>1661</v>
      </c>
      <c r="E512">
        <v>27</v>
      </c>
      <c r="F512">
        <v>14</v>
      </c>
      <c r="G512">
        <v>427</v>
      </c>
      <c r="H512" s="10">
        <v>1512</v>
      </c>
      <c r="I512">
        <v>0</v>
      </c>
      <c r="J512" t="s">
        <v>13</v>
      </c>
      <c r="K512" t="s">
        <v>8</v>
      </c>
      <c r="L512" t="s">
        <v>21</v>
      </c>
      <c r="M512" t="s">
        <v>9</v>
      </c>
    </row>
    <row r="513" spans="1:13" x14ac:dyDescent="0.25">
      <c r="A513" s="9">
        <v>46169</v>
      </c>
      <c r="B513">
        <v>2026</v>
      </c>
      <c r="C513" t="s">
        <v>23</v>
      </c>
      <c r="D513">
        <v>2507</v>
      </c>
      <c r="E513">
        <v>21</v>
      </c>
      <c r="F513">
        <v>22</v>
      </c>
      <c r="G513">
        <v>327</v>
      </c>
      <c r="H513" s="10">
        <v>286</v>
      </c>
      <c r="I513">
        <v>0</v>
      </c>
      <c r="J513" t="s">
        <v>3</v>
      </c>
      <c r="K513" t="s">
        <v>18</v>
      </c>
      <c r="L513" t="s">
        <v>15</v>
      </c>
      <c r="M513" t="s">
        <v>16</v>
      </c>
    </row>
    <row r="514" spans="1:13" x14ac:dyDescent="0.25">
      <c r="A514" s="9">
        <v>46170</v>
      </c>
      <c r="B514">
        <v>2026</v>
      </c>
      <c r="C514" t="s">
        <v>23</v>
      </c>
      <c r="D514">
        <v>2778</v>
      </c>
      <c r="E514">
        <v>9</v>
      </c>
      <c r="F514">
        <v>3</v>
      </c>
      <c r="G514">
        <v>197</v>
      </c>
      <c r="H514" s="10">
        <v>1574</v>
      </c>
      <c r="I514">
        <v>0</v>
      </c>
      <c r="J514" t="s">
        <v>3</v>
      </c>
      <c r="K514" t="s">
        <v>8</v>
      </c>
      <c r="L514" t="s">
        <v>7</v>
      </c>
      <c r="M514" t="s">
        <v>20</v>
      </c>
    </row>
    <row r="515" spans="1:13" x14ac:dyDescent="0.25">
      <c r="A515" s="9">
        <v>46171</v>
      </c>
      <c r="B515">
        <v>2026</v>
      </c>
      <c r="C515" t="s">
        <v>23</v>
      </c>
      <c r="D515">
        <v>3251</v>
      </c>
      <c r="E515">
        <v>41</v>
      </c>
      <c r="F515">
        <v>14</v>
      </c>
      <c r="G515">
        <v>251</v>
      </c>
      <c r="H515" s="10">
        <v>1225</v>
      </c>
      <c r="I515">
        <v>0</v>
      </c>
      <c r="J515" t="s">
        <v>3</v>
      </c>
      <c r="K515" t="s">
        <v>8</v>
      </c>
      <c r="L515" t="s">
        <v>15</v>
      </c>
      <c r="M515" t="s">
        <v>9</v>
      </c>
    </row>
    <row r="516" spans="1:13" x14ac:dyDescent="0.25">
      <c r="A516" s="9">
        <v>46172</v>
      </c>
      <c r="B516">
        <v>2026</v>
      </c>
      <c r="C516" t="s">
        <v>23</v>
      </c>
      <c r="D516">
        <v>2613</v>
      </c>
      <c r="E516">
        <v>10</v>
      </c>
      <c r="F516">
        <v>24</v>
      </c>
      <c r="G516">
        <v>200</v>
      </c>
      <c r="H516" s="10">
        <v>75</v>
      </c>
      <c r="I516">
        <v>0</v>
      </c>
      <c r="J516" t="s">
        <v>13</v>
      </c>
      <c r="K516" t="s">
        <v>2</v>
      </c>
      <c r="L516" t="s">
        <v>15</v>
      </c>
      <c r="M516" t="s">
        <v>6</v>
      </c>
    </row>
    <row r="517" spans="1:13" x14ac:dyDescent="0.25">
      <c r="A517" s="9">
        <v>46173</v>
      </c>
      <c r="B517">
        <v>2026</v>
      </c>
      <c r="C517" t="s">
        <v>23</v>
      </c>
      <c r="D517">
        <v>4987</v>
      </c>
      <c r="E517">
        <v>26</v>
      </c>
      <c r="F517">
        <v>39</v>
      </c>
      <c r="G517">
        <v>354</v>
      </c>
      <c r="H517" s="10">
        <v>2174</v>
      </c>
      <c r="I517">
        <v>0</v>
      </c>
      <c r="J517" t="s">
        <v>13</v>
      </c>
      <c r="K517" t="s">
        <v>11</v>
      </c>
      <c r="L517" t="s">
        <v>15</v>
      </c>
      <c r="M517" t="s">
        <v>0</v>
      </c>
    </row>
    <row r="518" spans="1:13" x14ac:dyDescent="0.25">
      <c r="A518" s="9">
        <v>46174</v>
      </c>
      <c r="B518">
        <v>2026</v>
      </c>
      <c r="C518" t="s">
        <v>22</v>
      </c>
      <c r="D518">
        <v>2635.74</v>
      </c>
      <c r="E518">
        <v>33</v>
      </c>
      <c r="F518">
        <v>42</v>
      </c>
      <c r="G518">
        <v>247</v>
      </c>
      <c r="H518" s="10">
        <v>2396</v>
      </c>
      <c r="I518">
        <v>0</v>
      </c>
      <c r="J518" t="s">
        <v>3</v>
      </c>
      <c r="K518" t="s">
        <v>8</v>
      </c>
      <c r="L518" t="s">
        <v>1</v>
      </c>
      <c r="M518" t="s">
        <v>20</v>
      </c>
    </row>
    <row r="519" spans="1:13" x14ac:dyDescent="0.25">
      <c r="A519" s="9">
        <v>46175</v>
      </c>
      <c r="B519">
        <v>2026</v>
      </c>
      <c r="C519" t="s">
        <v>22</v>
      </c>
      <c r="D519">
        <v>4498.2</v>
      </c>
      <c r="E519">
        <v>20</v>
      </c>
      <c r="F519">
        <v>-5</v>
      </c>
      <c r="G519">
        <v>265</v>
      </c>
      <c r="H519" s="10">
        <v>1374</v>
      </c>
      <c r="I519">
        <v>0</v>
      </c>
      <c r="J519" t="s">
        <v>3</v>
      </c>
      <c r="K519" t="s">
        <v>8</v>
      </c>
      <c r="L519" t="s">
        <v>21</v>
      </c>
      <c r="M519" t="s">
        <v>0</v>
      </c>
    </row>
    <row r="520" spans="1:13" x14ac:dyDescent="0.25">
      <c r="A520" s="9">
        <v>46176</v>
      </c>
      <c r="B520">
        <v>2026</v>
      </c>
      <c r="C520" t="s">
        <v>22</v>
      </c>
      <c r="D520">
        <v>3381.3</v>
      </c>
      <c r="E520">
        <v>7</v>
      </c>
      <c r="F520">
        <v>7</v>
      </c>
      <c r="G520">
        <v>75</v>
      </c>
      <c r="H520" s="10">
        <v>935</v>
      </c>
      <c r="I520">
        <v>0</v>
      </c>
      <c r="J520" t="s">
        <v>13</v>
      </c>
      <c r="K520" t="s">
        <v>2</v>
      </c>
      <c r="L520" t="s">
        <v>10</v>
      </c>
      <c r="M520" t="s">
        <v>6</v>
      </c>
    </row>
    <row r="521" spans="1:13" x14ac:dyDescent="0.25">
      <c r="A521" s="9">
        <v>46177</v>
      </c>
      <c r="B521">
        <v>2026</v>
      </c>
      <c r="C521" t="s">
        <v>22</v>
      </c>
      <c r="D521">
        <v>4439.7</v>
      </c>
      <c r="E521">
        <v>25</v>
      </c>
      <c r="F521">
        <v>57</v>
      </c>
      <c r="G521">
        <v>182</v>
      </c>
      <c r="H521" s="10">
        <v>657</v>
      </c>
      <c r="I521">
        <v>0</v>
      </c>
      <c r="J521" t="s">
        <v>13</v>
      </c>
      <c r="K521" t="s">
        <v>8</v>
      </c>
      <c r="L521" t="s">
        <v>7</v>
      </c>
      <c r="M521" t="s">
        <v>16</v>
      </c>
    </row>
    <row r="522" spans="1:13" x14ac:dyDescent="0.25">
      <c r="A522" s="9">
        <v>46178</v>
      </c>
      <c r="B522">
        <v>2026</v>
      </c>
      <c r="C522" t="s">
        <v>22</v>
      </c>
      <c r="D522">
        <v>1088.0999999999999</v>
      </c>
      <c r="E522">
        <v>11</v>
      </c>
      <c r="F522">
        <v>60</v>
      </c>
      <c r="G522">
        <v>321</v>
      </c>
      <c r="H522" s="10">
        <v>1473</v>
      </c>
      <c r="I522">
        <v>0</v>
      </c>
      <c r="J522" t="s">
        <v>3</v>
      </c>
      <c r="K522" t="s">
        <v>18</v>
      </c>
      <c r="L522" t="s">
        <v>15</v>
      </c>
      <c r="M522" t="s">
        <v>0</v>
      </c>
    </row>
    <row r="523" spans="1:13" x14ac:dyDescent="0.25">
      <c r="A523" s="9">
        <v>46179</v>
      </c>
      <c r="B523">
        <v>2026</v>
      </c>
      <c r="C523" t="s">
        <v>22</v>
      </c>
      <c r="D523">
        <v>3338.1</v>
      </c>
      <c r="E523">
        <v>38</v>
      </c>
      <c r="F523">
        <v>38</v>
      </c>
      <c r="G523">
        <v>241</v>
      </c>
      <c r="H523" s="10">
        <v>1240</v>
      </c>
      <c r="I523">
        <v>0</v>
      </c>
      <c r="J523" t="s">
        <v>3</v>
      </c>
      <c r="K523" t="s">
        <v>18</v>
      </c>
      <c r="L523" t="s">
        <v>10</v>
      </c>
      <c r="M523" t="s">
        <v>20</v>
      </c>
    </row>
    <row r="524" spans="1:13" x14ac:dyDescent="0.25">
      <c r="A524" s="9">
        <v>46180</v>
      </c>
      <c r="B524">
        <v>2026</v>
      </c>
      <c r="C524" t="s">
        <v>22</v>
      </c>
      <c r="D524">
        <v>2993.4</v>
      </c>
      <c r="E524">
        <v>42</v>
      </c>
      <c r="F524">
        <v>12</v>
      </c>
      <c r="G524">
        <v>345</v>
      </c>
      <c r="H524" s="10">
        <v>1855</v>
      </c>
      <c r="I524">
        <v>0</v>
      </c>
      <c r="J524" t="s">
        <v>13</v>
      </c>
      <c r="K524" t="s">
        <v>18</v>
      </c>
      <c r="L524" t="s">
        <v>7</v>
      </c>
      <c r="M524" t="s">
        <v>6</v>
      </c>
    </row>
    <row r="525" spans="1:13" x14ac:dyDescent="0.25">
      <c r="A525" s="9">
        <v>46181</v>
      </c>
      <c r="B525">
        <v>2026</v>
      </c>
      <c r="C525" t="s">
        <v>22</v>
      </c>
      <c r="D525">
        <v>3133.8</v>
      </c>
      <c r="E525">
        <v>34</v>
      </c>
      <c r="F525">
        <v>0</v>
      </c>
      <c r="G525">
        <v>239</v>
      </c>
      <c r="H525" s="10">
        <v>1896</v>
      </c>
      <c r="I525">
        <v>0</v>
      </c>
      <c r="J525" t="s">
        <v>3</v>
      </c>
      <c r="K525" t="s">
        <v>8</v>
      </c>
      <c r="L525" t="s">
        <v>10</v>
      </c>
      <c r="M525" t="s">
        <v>0</v>
      </c>
    </row>
    <row r="526" spans="1:13" x14ac:dyDescent="0.25">
      <c r="A526" s="9">
        <v>46182</v>
      </c>
      <c r="B526">
        <v>2026</v>
      </c>
      <c r="C526" t="s">
        <v>22</v>
      </c>
      <c r="D526">
        <v>3788.1</v>
      </c>
      <c r="E526">
        <v>6</v>
      </c>
      <c r="F526">
        <v>14</v>
      </c>
      <c r="G526">
        <v>56</v>
      </c>
      <c r="H526" s="10">
        <v>2463</v>
      </c>
      <c r="I526">
        <v>0</v>
      </c>
      <c r="J526" t="s">
        <v>3</v>
      </c>
      <c r="K526" t="s">
        <v>2</v>
      </c>
      <c r="L526" t="s">
        <v>21</v>
      </c>
      <c r="M526" t="s">
        <v>16</v>
      </c>
    </row>
    <row r="527" spans="1:13" x14ac:dyDescent="0.25">
      <c r="A527" s="9">
        <v>46183</v>
      </c>
      <c r="B527">
        <v>2026</v>
      </c>
      <c r="C527" t="s">
        <v>22</v>
      </c>
      <c r="D527">
        <v>3388.5</v>
      </c>
      <c r="E527">
        <v>12</v>
      </c>
      <c r="F527">
        <v>-1</v>
      </c>
      <c r="G527">
        <v>265</v>
      </c>
      <c r="H527" s="10">
        <v>730</v>
      </c>
      <c r="I527">
        <v>0</v>
      </c>
      <c r="J527" t="s">
        <v>3</v>
      </c>
      <c r="K527" t="s">
        <v>2</v>
      </c>
      <c r="L527" t="s">
        <v>1</v>
      </c>
      <c r="M527" t="s">
        <v>20</v>
      </c>
    </row>
    <row r="528" spans="1:13" x14ac:dyDescent="0.25">
      <c r="A528" s="9">
        <v>46184</v>
      </c>
      <c r="B528">
        <v>2026</v>
      </c>
      <c r="C528" t="s">
        <v>22</v>
      </c>
      <c r="D528">
        <v>4075.2</v>
      </c>
      <c r="E528">
        <v>13</v>
      </c>
      <c r="F528">
        <v>7</v>
      </c>
      <c r="G528">
        <v>182</v>
      </c>
      <c r="H528" s="10">
        <v>1515</v>
      </c>
      <c r="I528">
        <v>0</v>
      </c>
      <c r="J528" t="s">
        <v>13</v>
      </c>
      <c r="K528" t="s">
        <v>8</v>
      </c>
      <c r="L528" t="s">
        <v>21</v>
      </c>
      <c r="M528" t="s">
        <v>20</v>
      </c>
    </row>
    <row r="529" spans="1:13" x14ac:dyDescent="0.25">
      <c r="A529" s="9">
        <v>46185</v>
      </c>
      <c r="B529">
        <v>2026</v>
      </c>
      <c r="C529" t="s">
        <v>22</v>
      </c>
      <c r="D529">
        <v>2243.6999999999998</v>
      </c>
      <c r="E529">
        <v>26</v>
      </c>
      <c r="F529">
        <v>39</v>
      </c>
      <c r="G529">
        <v>34</v>
      </c>
      <c r="H529" s="10">
        <v>1320</v>
      </c>
      <c r="I529">
        <v>0</v>
      </c>
      <c r="J529" t="s">
        <v>3</v>
      </c>
      <c r="K529" t="s">
        <v>18</v>
      </c>
      <c r="L529" t="s">
        <v>7</v>
      </c>
      <c r="M529" t="s">
        <v>0</v>
      </c>
    </row>
    <row r="530" spans="1:13" x14ac:dyDescent="0.25">
      <c r="A530" s="9">
        <v>46186</v>
      </c>
      <c r="B530">
        <v>2026</v>
      </c>
      <c r="C530" t="s">
        <v>22</v>
      </c>
      <c r="D530">
        <v>3190.5</v>
      </c>
      <c r="E530">
        <v>26</v>
      </c>
      <c r="F530">
        <v>19</v>
      </c>
      <c r="G530">
        <v>434</v>
      </c>
      <c r="H530" s="10">
        <v>1464</v>
      </c>
      <c r="I530">
        <v>0</v>
      </c>
      <c r="J530" t="s">
        <v>3</v>
      </c>
      <c r="K530" t="s">
        <v>2</v>
      </c>
      <c r="L530" t="s">
        <v>15</v>
      </c>
      <c r="M530" t="s">
        <v>0</v>
      </c>
    </row>
    <row r="531" spans="1:13" x14ac:dyDescent="0.25">
      <c r="A531" s="9">
        <v>46187</v>
      </c>
      <c r="B531">
        <v>2026</v>
      </c>
      <c r="C531" t="s">
        <v>22</v>
      </c>
      <c r="D531">
        <v>1417.5</v>
      </c>
      <c r="E531">
        <v>17</v>
      </c>
      <c r="F531">
        <v>38</v>
      </c>
      <c r="G531">
        <v>34</v>
      </c>
      <c r="H531" s="10">
        <v>178</v>
      </c>
      <c r="I531">
        <v>0</v>
      </c>
      <c r="J531" t="s">
        <v>3</v>
      </c>
      <c r="K531" t="s">
        <v>18</v>
      </c>
      <c r="L531" t="s">
        <v>1</v>
      </c>
      <c r="M531" t="s">
        <v>16</v>
      </c>
    </row>
    <row r="532" spans="1:13" x14ac:dyDescent="0.25">
      <c r="A532" s="9">
        <v>46188</v>
      </c>
      <c r="B532">
        <v>2026</v>
      </c>
      <c r="C532" t="s">
        <v>22</v>
      </c>
      <c r="D532">
        <v>3451.5</v>
      </c>
      <c r="E532">
        <v>38</v>
      </c>
      <c r="F532">
        <v>46</v>
      </c>
      <c r="G532">
        <v>65</v>
      </c>
      <c r="H532" s="10">
        <v>1105</v>
      </c>
      <c r="I532">
        <v>0</v>
      </c>
      <c r="J532" t="s">
        <v>3</v>
      </c>
      <c r="K532" t="s">
        <v>2</v>
      </c>
      <c r="L532" t="s">
        <v>7</v>
      </c>
      <c r="M532" t="s">
        <v>0</v>
      </c>
    </row>
    <row r="533" spans="1:13" x14ac:dyDescent="0.25">
      <c r="A533" s="9">
        <v>46189</v>
      </c>
      <c r="B533">
        <v>2026</v>
      </c>
      <c r="C533" t="s">
        <v>22</v>
      </c>
      <c r="D533">
        <v>3949.2</v>
      </c>
      <c r="E533">
        <v>17</v>
      </c>
      <c r="F533">
        <v>16</v>
      </c>
      <c r="G533">
        <v>243</v>
      </c>
      <c r="H533" s="10">
        <v>1624</v>
      </c>
      <c r="I533">
        <v>0</v>
      </c>
      <c r="J533" t="s">
        <v>13</v>
      </c>
      <c r="K533" t="s">
        <v>11</v>
      </c>
      <c r="L533" t="s">
        <v>17</v>
      </c>
      <c r="M533" t="s">
        <v>16</v>
      </c>
    </row>
    <row r="534" spans="1:13" x14ac:dyDescent="0.25">
      <c r="A534" s="9">
        <v>46190</v>
      </c>
      <c r="B534">
        <v>2026</v>
      </c>
      <c r="C534" t="s">
        <v>22</v>
      </c>
      <c r="D534">
        <v>3115.8</v>
      </c>
      <c r="E534">
        <v>33</v>
      </c>
      <c r="F534">
        <v>55</v>
      </c>
      <c r="G534">
        <v>89</v>
      </c>
      <c r="H534" s="10">
        <v>1609</v>
      </c>
      <c r="I534">
        <v>0</v>
      </c>
      <c r="J534" t="s">
        <v>13</v>
      </c>
      <c r="K534" t="s">
        <v>8</v>
      </c>
      <c r="L534" t="s">
        <v>21</v>
      </c>
      <c r="M534" t="s">
        <v>20</v>
      </c>
    </row>
    <row r="535" spans="1:13" x14ac:dyDescent="0.25">
      <c r="A535" s="9">
        <v>46191</v>
      </c>
      <c r="B535">
        <v>2026</v>
      </c>
      <c r="C535" t="s">
        <v>22</v>
      </c>
      <c r="D535">
        <v>2084.4</v>
      </c>
      <c r="E535">
        <v>11</v>
      </c>
      <c r="F535">
        <v>4</v>
      </c>
      <c r="G535">
        <v>269</v>
      </c>
      <c r="H535" s="10">
        <v>2468</v>
      </c>
      <c r="I535">
        <v>0</v>
      </c>
      <c r="J535" t="s">
        <v>13</v>
      </c>
      <c r="K535" t="s">
        <v>2</v>
      </c>
      <c r="L535" t="s">
        <v>1</v>
      </c>
      <c r="M535" t="s">
        <v>0</v>
      </c>
    </row>
    <row r="536" spans="1:13" x14ac:dyDescent="0.25">
      <c r="A536" s="9">
        <v>46192</v>
      </c>
      <c r="B536">
        <v>2026</v>
      </c>
      <c r="C536" t="s">
        <v>22</v>
      </c>
      <c r="D536">
        <v>3618</v>
      </c>
      <c r="E536">
        <v>35</v>
      </c>
      <c r="F536">
        <v>46</v>
      </c>
      <c r="G536">
        <v>232</v>
      </c>
      <c r="H536" s="10">
        <v>2377</v>
      </c>
      <c r="I536">
        <v>0</v>
      </c>
      <c r="J536" t="s">
        <v>3</v>
      </c>
      <c r="K536" t="s">
        <v>8</v>
      </c>
      <c r="L536" t="s">
        <v>1</v>
      </c>
      <c r="M536" t="s">
        <v>0</v>
      </c>
    </row>
    <row r="537" spans="1:13" x14ac:dyDescent="0.25">
      <c r="A537" s="9">
        <v>46193</v>
      </c>
      <c r="B537">
        <v>2026</v>
      </c>
      <c r="C537" t="s">
        <v>22</v>
      </c>
      <c r="D537">
        <v>2705.4</v>
      </c>
      <c r="E537">
        <v>20</v>
      </c>
      <c r="F537">
        <v>20</v>
      </c>
      <c r="G537">
        <v>123</v>
      </c>
      <c r="H537" s="10">
        <v>574</v>
      </c>
      <c r="I537">
        <v>0</v>
      </c>
      <c r="J537" t="s">
        <v>3</v>
      </c>
      <c r="K537" t="s">
        <v>11</v>
      </c>
      <c r="L537" t="s">
        <v>10</v>
      </c>
      <c r="M537" t="s">
        <v>6</v>
      </c>
    </row>
    <row r="538" spans="1:13" x14ac:dyDescent="0.25">
      <c r="A538" s="9">
        <v>46194</v>
      </c>
      <c r="B538">
        <v>2026</v>
      </c>
      <c r="C538" t="s">
        <v>22</v>
      </c>
      <c r="D538">
        <v>1989</v>
      </c>
      <c r="E538">
        <v>31</v>
      </c>
      <c r="F538">
        <v>0</v>
      </c>
      <c r="G538">
        <v>155</v>
      </c>
      <c r="H538" s="10">
        <v>1046</v>
      </c>
      <c r="I538">
        <v>0</v>
      </c>
      <c r="J538" t="s">
        <v>13</v>
      </c>
      <c r="K538" t="s">
        <v>2</v>
      </c>
      <c r="L538" t="s">
        <v>15</v>
      </c>
      <c r="M538" t="s">
        <v>20</v>
      </c>
    </row>
    <row r="539" spans="1:13" x14ac:dyDescent="0.25">
      <c r="A539" s="9">
        <v>46195</v>
      </c>
      <c r="B539">
        <v>2026</v>
      </c>
      <c r="C539" t="s">
        <v>22</v>
      </c>
      <c r="D539">
        <v>1755.9</v>
      </c>
      <c r="E539">
        <v>11</v>
      </c>
      <c r="F539">
        <v>26</v>
      </c>
      <c r="G539">
        <v>88</v>
      </c>
      <c r="H539" s="10">
        <v>548</v>
      </c>
      <c r="I539">
        <v>0</v>
      </c>
      <c r="J539" t="s">
        <v>3</v>
      </c>
      <c r="K539" t="s">
        <v>18</v>
      </c>
      <c r="L539" t="s">
        <v>1</v>
      </c>
      <c r="M539" t="s">
        <v>16</v>
      </c>
    </row>
    <row r="540" spans="1:13" x14ac:dyDescent="0.25">
      <c r="A540" s="9">
        <v>46196</v>
      </c>
      <c r="B540">
        <v>2026</v>
      </c>
      <c r="C540" t="s">
        <v>22</v>
      </c>
      <c r="D540">
        <v>2619</v>
      </c>
      <c r="E540">
        <v>37</v>
      </c>
      <c r="F540">
        <v>58</v>
      </c>
      <c r="G540">
        <v>326</v>
      </c>
      <c r="H540" s="10">
        <v>68</v>
      </c>
      <c r="I540">
        <v>0</v>
      </c>
      <c r="J540" t="s">
        <v>3</v>
      </c>
      <c r="K540" t="s">
        <v>2</v>
      </c>
      <c r="L540" t="s">
        <v>7</v>
      </c>
      <c r="M540" t="s">
        <v>16</v>
      </c>
    </row>
    <row r="541" spans="1:13" x14ac:dyDescent="0.25">
      <c r="A541" s="9">
        <v>46197</v>
      </c>
      <c r="B541">
        <v>2026</v>
      </c>
      <c r="C541" t="s">
        <v>22</v>
      </c>
      <c r="D541">
        <v>1655.1</v>
      </c>
      <c r="E541">
        <v>32</v>
      </c>
      <c r="F541">
        <v>-5</v>
      </c>
      <c r="G541">
        <v>303</v>
      </c>
      <c r="H541" s="10">
        <v>590</v>
      </c>
      <c r="I541">
        <v>0</v>
      </c>
      <c r="J541" t="s">
        <v>3</v>
      </c>
      <c r="K541" t="s">
        <v>2</v>
      </c>
      <c r="L541" t="s">
        <v>15</v>
      </c>
      <c r="M541" t="s">
        <v>0</v>
      </c>
    </row>
    <row r="542" spans="1:13" x14ac:dyDescent="0.25">
      <c r="A542" s="9">
        <v>46198</v>
      </c>
      <c r="B542">
        <v>2026</v>
      </c>
      <c r="C542" t="s">
        <v>22</v>
      </c>
      <c r="D542">
        <v>877.5</v>
      </c>
      <c r="E542">
        <v>30</v>
      </c>
      <c r="F542">
        <v>34</v>
      </c>
      <c r="G542">
        <v>310</v>
      </c>
      <c r="H542" s="10">
        <v>2497</v>
      </c>
      <c r="I542">
        <v>0</v>
      </c>
      <c r="J542" t="s">
        <v>3</v>
      </c>
      <c r="K542" t="s">
        <v>2</v>
      </c>
      <c r="L542" t="s">
        <v>17</v>
      </c>
      <c r="M542" t="s">
        <v>16</v>
      </c>
    </row>
    <row r="543" spans="1:13" x14ac:dyDescent="0.25">
      <c r="A543" s="9">
        <v>46199</v>
      </c>
      <c r="B543">
        <v>2026</v>
      </c>
      <c r="C543" t="s">
        <v>22</v>
      </c>
      <c r="D543">
        <v>3184.2</v>
      </c>
      <c r="E543">
        <v>25</v>
      </c>
      <c r="F543">
        <v>7</v>
      </c>
      <c r="G543">
        <v>439</v>
      </c>
      <c r="H543" s="10">
        <v>300</v>
      </c>
      <c r="I543">
        <v>0</v>
      </c>
      <c r="J543" t="s">
        <v>3</v>
      </c>
      <c r="K543" t="s">
        <v>18</v>
      </c>
      <c r="L543" t="s">
        <v>1</v>
      </c>
      <c r="M543" t="s">
        <v>20</v>
      </c>
    </row>
    <row r="544" spans="1:13" x14ac:dyDescent="0.25">
      <c r="A544" s="9">
        <v>46200</v>
      </c>
      <c r="B544">
        <v>2026</v>
      </c>
      <c r="C544" t="s">
        <v>22</v>
      </c>
      <c r="D544">
        <v>1772.1</v>
      </c>
      <c r="E544">
        <v>41</v>
      </c>
      <c r="F544">
        <v>35</v>
      </c>
      <c r="G544">
        <v>172</v>
      </c>
      <c r="H544" s="10">
        <v>1044</v>
      </c>
      <c r="I544">
        <v>0</v>
      </c>
      <c r="J544" t="s">
        <v>13</v>
      </c>
      <c r="K544" t="s">
        <v>11</v>
      </c>
      <c r="L544" t="s">
        <v>10</v>
      </c>
      <c r="M544" t="s">
        <v>0</v>
      </c>
    </row>
    <row r="545" spans="1:13" x14ac:dyDescent="0.25">
      <c r="A545" s="9">
        <v>46201</v>
      </c>
      <c r="B545">
        <v>2026</v>
      </c>
      <c r="C545" t="s">
        <v>22</v>
      </c>
      <c r="D545">
        <v>3659.4</v>
      </c>
      <c r="E545">
        <v>17</v>
      </c>
      <c r="F545">
        <v>28</v>
      </c>
      <c r="G545">
        <v>274</v>
      </c>
      <c r="H545" s="10">
        <v>1725</v>
      </c>
      <c r="I545">
        <v>0</v>
      </c>
      <c r="J545" t="s">
        <v>3</v>
      </c>
      <c r="K545" t="s">
        <v>2</v>
      </c>
      <c r="L545" t="s">
        <v>15</v>
      </c>
      <c r="M545" t="s">
        <v>16</v>
      </c>
    </row>
    <row r="546" spans="1:13" x14ac:dyDescent="0.25">
      <c r="A546" s="9">
        <v>46202</v>
      </c>
      <c r="B546">
        <v>2026</v>
      </c>
      <c r="C546" t="s">
        <v>22</v>
      </c>
      <c r="D546">
        <v>3334.5</v>
      </c>
      <c r="E546">
        <v>9</v>
      </c>
      <c r="F546">
        <v>-1</v>
      </c>
      <c r="G546">
        <v>306</v>
      </c>
      <c r="H546" s="10">
        <v>1128</v>
      </c>
      <c r="I546">
        <v>0</v>
      </c>
      <c r="J546" t="s">
        <v>3</v>
      </c>
      <c r="K546" t="s">
        <v>2</v>
      </c>
      <c r="L546" t="s">
        <v>7</v>
      </c>
      <c r="M546" t="s">
        <v>9</v>
      </c>
    </row>
    <row r="547" spans="1:13" x14ac:dyDescent="0.25">
      <c r="A547" s="9">
        <v>46203</v>
      </c>
      <c r="B547">
        <v>2026</v>
      </c>
      <c r="C547" t="s">
        <v>22</v>
      </c>
      <c r="D547">
        <v>2818.8</v>
      </c>
      <c r="E547">
        <v>37</v>
      </c>
      <c r="F547">
        <v>25</v>
      </c>
      <c r="G547">
        <v>311</v>
      </c>
      <c r="H547" s="10">
        <v>1573</v>
      </c>
      <c r="I547">
        <v>0</v>
      </c>
      <c r="J547" t="s">
        <v>3</v>
      </c>
      <c r="K547" t="s">
        <v>2</v>
      </c>
      <c r="L547" t="s">
        <v>21</v>
      </c>
      <c r="M547" t="s">
        <v>0</v>
      </c>
    </row>
    <row r="548" spans="1:13" x14ac:dyDescent="0.25">
      <c r="A548" s="9">
        <v>46204</v>
      </c>
      <c r="B548">
        <v>2026</v>
      </c>
      <c r="C548" t="s">
        <v>5</v>
      </c>
      <c r="D548">
        <v>1499.4</v>
      </c>
      <c r="E548">
        <v>21</v>
      </c>
      <c r="F548">
        <v>22</v>
      </c>
      <c r="G548">
        <v>76</v>
      </c>
      <c r="H548" s="10">
        <v>1994</v>
      </c>
      <c r="I548">
        <v>0</v>
      </c>
      <c r="J548" t="s">
        <v>3</v>
      </c>
      <c r="K548" t="s">
        <v>8</v>
      </c>
      <c r="L548" t="s">
        <v>21</v>
      </c>
      <c r="M548" t="s">
        <v>16</v>
      </c>
    </row>
    <row r="549" spans="1:13" x14ac:dyDescent="0.25">
      <c r="A549" s="9">
        <v>46205</v>
      </c>
      <c r="B549">
        <v>2026</v>
      </c>
      <c r="C549" t="s">
        <v>5</v>
      </c>
      <c r="D549">
        <v>3470.4</v>
      </c>
      <c r="E549">
        <v>15</v>
      </c>
      <c r="F549">
        <v>43</v>
      </c>
      <c r="G549">
        <v>99</v>
      </c>
      <c r="H549" s="10">
        <v>2108</v>
      </c>
      <c r="I549">
        <v>0</v>
      </c>
      <c r="J549" t="s">
        <v>3</v>
      </c>
      <c r="K549" t="s">
        <v>2</v>
      </c>
      <c r="L549" t="s">
        <v>15</v>
      </c>
      <c r="M549" t="s">
        <v>0</v>
      </c>
    </row>
    <row r="550" spans="1:13" x14ac:dyDescent="0.25">
      <c r="A550" s="9">
        <v>46206</v>
      </c>
      <c r="B550">
        <v>2026</v>
      </c>
      <c r="C550" t="s">
        <v>5</v>
      </c>
      <c r="D550">
        <v>2826.9</v>
      </c>
      <c r="E550">
        <v>12</v>
      </c>
      <c r="F550">
        <v>40</v>
      </c>
      <c r="G550">
        <v>244</v>
      </c>
      <c r="H550" s="10">
        <v>1588</v>
      </c>
      <c r="I550">
        <v>0</v>
      </c>
      <c r="J550" t="s">
        <v>13</v>
      </c>
      <c r="K550" t="s">
        <v>8</v>
      </c>
      <c r="L550" t="s">
        <v>21</v>
      </c>
      <c r="M550" t="s">
        <v>20</v>
      </c>
    </row>
    <row r="551" spans="1:13" x14ac:dyDescent="0.25">
      <c r="A551" s="9">
        <v>46207</v>
      </c>
      <c r="B551">
        <v>2026</v>
      </c>
      <c r="C551" t="s">
        <v>5</v>
      </c>
      <c r="D551">
        <v>3031.2</v>
      </c>
      <c r="E551">
        <v>19</v>
      </c>
      <c r="F551">
        <v>28</v>
      </c>
      <c r="G551">
        <v>441</v>
      </c>
      <c r="H551" s="10">
        <v>1146</v>
      </c>
      <c r="I551">
        <v>0</v>
      </c>
      <c r="J551" t="s">
        <v>3</v>
      </c>
      <c r="K551" t="s">
        <v>18</v>
      </c>
      <c r="L551" t="s">
        <v>7</v>
      </c>
      <c r="M551" t="s">
        <v>9</v>
      </c>
    </row>
    <row r="552" spans="1:13" x14ac:dyDescent="0.25">
      <c r="A552" s="9">
        <v>46208</v>
      </c>
      <c r="B552">
        <v>2026</v>
      </c>
      <c r="C552" t="s">
        <v>5</v>
      </c>
      <c r="D552">
        <v>1468.8</v>
      </c>
      <c r="E552">
        <v>5</v>
      </c>
      <c r="F552">
        <v>29</v>
      </c>
      <c r="G552">
        <v>134</v>
      </c>
      <c r="H552" s="10">
        <v>1999</v>
      </c>
      <c r="I552">
        <v>0</v>
      </c>
      <c r="J552" t="s">
        <v>3</v>
      </c>
      <c r="K552" t="s">
        <v>18</v>
      </c>
      <c r="L552" t="s">
        <v>1</v>
      </c>
      <c r="M552" t="s">
        <v>6</v>
      </c>
    </row>
    <row r="553" spans="1:13" x14ac:dyDescent="0.25">
      <c r="A553" s="9">
        <v>46209</v>
      </c>
      <c r="B553">
        <v>2026</v>
      </c>
      <c r="C553" t="s">
        <v>5</v>
      </c>
      <c r="D553">
        <v>861.3</v>
      </c>
      <c r="E553">
        <v>34</v>
      </c>
      <c r="F553">
        <v>55</v>
      </c>
      <c r="G553">
        <v>278</v>
      </c>
      <c r="H553" s="10">
        <v>824</v>
      </c>
      <c r="I553">
        <v>0</v>
      </c>
      <c r="J553" t="s">
        <v>13</v>
      </c>
      <c r="K553" t="s">
        <v>2</v>
      </c>
      <c r="L553" t="s">
        <v>10</v>
      </c>
      <c r="M553" t="s">
        <v>0</v>
      </c>
    </row>
    <row r="554" spans="1:13" x14ac:dyDescent="0.25">
      <c r="A554" s="9">
        <v>46210</v>
      </c>
      <c r="B554">
        <v>2026</v>
      </c>
      <c r="C554" t="s">
        <v>5</v>
      </c>
      <c r="D554">
        <v>933.3</v>
      </c>
      <c r="E554">
        <v>9</v>
      </c>
      <c r="F554">
        <v>10</v>
      </c>
      <c r="G554">
        <v>438</v>
      </c>
      <c r="H554" s="10">
        <v>985</v>
      </c>
      <c r="I554">
        <v>0</v>
      </c>
      <c r="J554" t="s">
        <v>13</v>
      </c>
      <c r="K554" t="s">
        <v>2</v>
      </c>
      <c r="L554" t="s">
        <v>21</v>
      </c>
      <c r="M554" t="s">
        <v>20</v>
      </c>
    </row>
    <row r="555" spans="1:13" x14ac:dyDescent="0.25">
      <c r="A555" s="9">
        <v>46211</v>
      </c>
      <c r="B555">
        <v>2026</v>
      </c>
      <c r="C555" t="s">
        <v>5</v>
      </c>
      <c r="D555">
        <v>1243.8</v>
      </c>
      <c r="E555">
        <v>38</v>
      </c>
      <c r="F555">
        <v>29</v>
      </c>
      <c r="G555">
        <v>191</v>
      </c>
      <c r="H555" s="10">
        <v>1802</v>
      </c>
      <c r="I555">
        <v>0</v>
      </c>
      <c r="J555" t="s">
        <v>3</v>
      </c>
      <c r="K555" t="s">
        <v>2</v>
      </c>
      <c r="L555" t="s">
        <v>15</v>
      </c>
      <c r="M555" t="s">
        <v>9</v>
      </c>
    </row>
    <row r="556" spans="1:13" x14ac:dyDescent="0.25">
      <c r="A556" s="9">
        <v>46212</v>
      </c>
      <c r="B556">
        <v>2026</v>
      </c>
      <c r="C556" t="s">
        <v>5</v>
      </c>
      <c r="D556">
        <v>1566.9</v>
      </c>
      <c r="E556">
        <v>41</v>
      </c>
      <c r="F556">
        <v>41</v>
      </c>
      <c r="G556">
        <v>348</v>
      </c>
      <c r="H556" s="10">
        <v>459</v>
      </c>
      <c r="I556">
        <v>0</v>
      </c>
      <c r="J556" t="s">
        <v>3</v>
      </c>
      <c r="K556" t="s">
        <v>2</v>
      </c>
      <c r="L556" t="s">
        <v>15</v>
      </c>
      <c r="M556" t="s">
        <v>6</v>
      </c>
    </row>
    <row r="557" spans="1:13" x14ac:dyDescent="0.25">
      <c r="A557" s="9">
        <v>46213</v>
      </c>
      <c r="B557">
        <v>2026</v>
      </c>
      <c r="C557" t="s">
        <v>5</v>
      </c>
      <c r="D557">
        <v>2636.1</v>
      </c>
      <c r="E557">
        <v>33</v>
      </c>
      <c r="F557">
        <v>21</v>
      </c>
      <c r="G557">
        <v>407</v>
      </c>
      <c r="H557" s="10">
        <v>1193</v>
      </c>
      <c r="I557">
        <v>0</v>
      </c>
      <c r="J557" t="s">
        <v>13</v>
      </c>
      <c r="K557" t="s">
        <v>2</v>
      </c>
      <c r="L557" t="s">
        <v>10</v>
      </c>
      <c r="M557" t="s">
        <v>20</v>
      </c>
    </row>
    <row r="558" spans="1:13" x14ac:dyDescent="0.25">
      <c r="A558" s="9">
        <v>46214</v>
      </c>
      <c r="B558">
        <v>2026</v>
      </c>
      <c r="C558" t="s">
        <v>5</v>
      </c>
      <c r="D558">
        <v>1299.5999999999999</v>
      </c>
      <c r="E558">
        <v>6</v>
      </c>
      <c r="F558">
        <v>15</v>
      </c>
      <c r="G558">
        <v>122</v>
      </c>
      <c r="H558" s="10">
        <v>525</v>
      </c>
      <c r="I558">
        <v>0</v>
      </c>
      <c r="J558" t="s">
        <v>13</v>
      </c>
      <c r="K558" t="s">
        <v>8</v>
      </c>
      <c r="L558" t="s">
        <v>1</v>
      </c>
      <c r="M558" t="s">
        <v>6</v>
      </c>
    </row>
    <row r="559" spans="1:13" x14ac:dyDescent="0.25">
      <c r="A559" s="9">
        <v>46215</v>
      </c>
      <c r="B559">
        <v>2026</v>
      </c>
      <c r="C559" t="s">
        <v>5</v>
      </c>
      <c r="D559">
        <v>1747.8</v>
      </c>
      <c r="E559">
        <v>17</v>
      </c>
      <c r="F559">
        <v>29</v>
      </c>
      <c r="G559">
        <v>440</v>
      </c>
      <c r="H559" s="10">
        <v>563</v>
      </c>
      <c r="I559">
        <v>0</v>
      </c>
      <c r="J559" t="s">
        <v>13</v>
      </c>
      <c r="K559" t="s">
        <v>2</v>
      </c>
      <c r="L559" t="s">
        <v>10</v>
      </c>
      <c r="M559" t="s">
        <v>0</v>
      </c>
    </row>
    <row r="560" spans="1:13" x14ac:dyDescent="0.25">
      <c r="A560" s="9">
        <v>46216</v>
      </c>
      <c r="B560">
        <v>2026</v>
      </c>
      <c r="C560" t="s">
        <v>5</v>
      </c>
      <c r="D560">
        <v>3951.9</v>
      </c>
      <c r="E560">
        <v>35</v>
      </c>
      <c r="F560">
        <v>13</v>
      </c>
      <c r="G560">
        <v>376</v>
      </c>
      <c r="H560" s="10">
        <v>1273</v>
      </c>
      <c r="I560">
        <v>0</v>
      </c>
      <c r="J560" t="s">
        <v>3</v>
      </c>
      <c r="K560" t="s">
        <v>2</v>
      </c>
      <c r="L560" t="s">
        <v>21</v>
      </c>
      <c r="M560" t="s">
        <v>16</v>
      </c>
    </row>
    <row r="561" spans="1:13" x14ac:dyDescent="0.25">
      <c r="A561" s="9">
        <v>46217</v>
      </c>
      <c r="B561">
        <v>2026</v>
      </c>
      <c r="C561" t="s">
        <v>5</v>
      </c>
      <c r="D561">
        <v>3942</v>
      </c>
      <c r="E561">
        <v>26</v>
      </c>
      <c r="F561">
        <v>10</v>
      </c>
      <c r="G561">
        <v>98</v>
      </c>
      <c r="H561" s="10">
        <v>834</v>
      </c>
      <c r="I561">
        <v>0</v>
      </c>
      <c r="J561" t="s">
        <v>13</v>
      </c>
      <c r="K561" t="s">
        <v>18</v>
      </c>
      <c r="L561" t="s">
        <v>21</v>
      </c>
      <c r="M561" t="s">
        <v>0</v>
      </c>
    </row>
    <row r="562" spans="1:13" x14ac:dyDescent="0.25">
      <c r="A562" s="9">
        <v>46218</v>
      </c>
      <c r="B562">
        <v>2026</v>
      </c>
      <c r="C562" t="s">
        <v>5</v>
      </c>
      <c r="D562">
        <v>4659.3</v>
      </c>
      <c r="E562">
        <v>33</v>
      </c>
      <c r="F562">
        <v>51</v>
      </c>
      <c r="G562">
        <v>387</v>
      </c>
      <c r="H562" s="10">
        <v>941</v>
      </c>
      <c r="I562">
        <v>0</v>
      </c>
      <c r="J562" t="s">
        <v>3</v>
      </c>
      <c r="K562" t="s">
        <v>2</v>
      </c>
      <c r="L562" t="s">
        <v>17</v>
      </c>
      <c r="M562" t="s">
        <v>6</v>
      </c>
    </row>
    <row r="563" spans="1:13" x14ac:dyDescent="0.25">
      <c r="A563" s="9">
        <v>46219</v>
      </c>
      <c r="B563">
        <v>2026</v>
      </c>
      <c r="C563" t="s">
        <v>5</v>
      </c>
      <c r="D563">
        <v>3634.2</v>
      </c>
      <c r="E563">
        <v>21</v>
      </c>
      <c r="F563">
        <v>51</v>
      </c>
      <c r="G563">
        <v>345</v>
      </c>
      <c r="H563" s="10">
        <v>631</v>
      </c>
      <c r="I563">
        <v>0</v>
      </c>
      <c r="J563" t="s">
        <v>13</v>
      </c>
      <c r="K563" t="s">
        <v>2</v>
      </c>
      <c r="L563" t="s">
        <v>7</v>
      </c>
      <c r="M563" t="s">
        <v>16</v>
      </c>
    </row>
    <row r="564" spans="1:13" x14ac:dyDescent="0.25">
      <c r="A564" s="9">
        <v>46220</v>
      </c>
      <c r="B564">
        <v>2026</v>
      </c>
      <c r="C564" t="s">
        <v>5</v>
      </c>
      <c r="D564">
        <v>1497.6</v>
      </c>
      <c r="E564">
        <v>16</v>
      </c>
      <c r="F564">
        <v>53</v>
      </c>
      <c r="G564">
        <v>348</v>
      </c>
      <c r="H564" s="10">
        <v>348</v>
      </c>
      <c r="I564">
        <v>0</v>
      </c>
      <c r="J564" t="s">
        <v>13</v>
      </c>
      <c r="K564" t="s">
        <v>8</v>
      </c>
      <c r="L564" t="s">
        <v>7</v>
      </c>
      <c r="M564" t="s">
        <v>9</v>
      </c>
    </row>
    <row r="565" spans="1:13" x14ac:dyDescent="0.25">
      <c r="A565" s="9">
        <v>46221</v>
      </c>
      <c r="B565">
        <v>2026</v>
      </c>
      <c r="C565" t="s">
        <v>5</v>
      </c>
      <c r="D565">
        <v>3838.5</v>
      </c>
      <c r="E565">
        <v>14</v>
      </c>
      <c r="F565">
        <v>45</v>
      </c>
      <c r="G565">
        <v>198</v>
      </c>
      <c r="H565" s="10">
        <v>1953</v>
      </c>
      <c r="I565">
        <v>0</v>
      </c>
      <c r="J565" t="s">
        <v>3</v>
      </c>
      <c r="K565" t="s">
        <v>8</v>
      </c>
      <c r="L565" t="s">
        <v>17</v>
      </c>
      <c r="M565" t="s">
        <v>6</v>
      </c>
    </row>
    <row r="566" spans="1:13" x14ac:dyDescent="0.25">
      <c r="A566" s="9">
        <v>46222</v>
      </c>
      <c r="B566">
        <v>2026</v>
      </c>
      <c r="C566" t="s">
        <v>5</v>
      </c>
      <c r="D566">
        <v>1130.4000000000001</v>
      </c>
      <c r="E566">
        <v>36</v>
      </c>
      <c r="F566">
        <v>14</v>
      </c>
      <c r="G566">
        <v>369</v>
      </c>
      <c r="H566" s="10">
        <v>2197</v>
      </c>
      <c r="I566">
        <v>0</v>
      </c>
      <c r="J566" t="s">
        <v>3</v>
      </c>
      <c r="K566" t="s">
        <v>18</v>
      </c>
      <c r="L566" t="s">
        <v>15</v>
      </c>
      <c r="M566" t="s">
        <v>6</v>
      </c>
    </row>
    <row r="567" spans="1:13" x14ac:dyDescent="0.25">
      <c r="A567" s="9">
        <v>46223</v>
      </c>
      <c r="B567">
        <v>2026</v>
      </c>
      <c r="C567" t="s">
        <v>5</v>
      </c>
      <c r="D567">
        <v>1279.8</v>
      </c>
      <c r="E567">
        <v>14</v>
      </c>
      <c r="F567">
        <v>56</v>
      </c>
      <c r="G567">
        <v>158</v>
      </c>
      <c r="H567" s="10">
        <v>521</v>
      </c>
      <c r="I567">
        <v>0</v>
      </c>
      <c r="J567" t="s">
        <v>3</v>
      </c>
      <c r="K567" t="s">
        <v>11</v>
      </c>
      <c r="L567" t="s">
        <v>1</v>
      </c>
      <c r="M567" t="s">
        <v>20</v>
      </c>
    </row>
    <row r="568" spans="1:13" x14ac:dyDescent="0.25">
      <c r="A568" s="9">
        <v>46224</v>
      </c>
      <c r="B568">
        <v>2026</v>
      </c>
      <c r="C568" t="s">
        <v>5</v>
      </c>
      <c r="D568">
        <v>4606.2</v>
      </c>
      <c r="E568">
        <v>29</v>
      </c>
      <c r="F568">
        <v>28</v>
      </c>
      <c r="G568">
        <v>207</v>
      </c>
      <c r="H568" s="10">
        <v>816</v>
      </c>
      <c r="I568">
        <v>0</v>
      </c>
      <c r="J568" t="s">
        <v>3</v>
      </c>
      <c r="K568" t="s">
        <v>2</v>
      </c>
      <c r="L568" t="s">
        <v>7</v>
      </c>
      <c r="M568" t="s">
        <v>9</v>
      </c>
    </row>
    <row r="569" spans="1:13" x14ac:dyDescent="0.25">
      <c r="A569" s="9">
        <v>46225</v>
      </c>
      <c r="B569">
        <v>2026</v>
      </c>
      <c r="C569" t="s">
        <v>5</v>
      </c>
      <c r="D569">
        <v>2165.4</v>
      </c>
      <c r="E569">
        <v>43</v>
      </c>
      <c r="F569">
        <v>0</v>
      </c>
      <c r="G569">
        <v>314</v>
      </c>
      <c r="H569" s="10">
        <v>2089</v>
      </c>
      <c r="I569">
        <v>0</v>
      </c>
      <c r="J569" t="s">
        <v>3</v>
      </c>
      <c r="K569" t="s">
        <v>11</v>
      </c>
      <c r="L569" t="s">
        <v>7</v>
      </c>
      <c r="M569" t="s">
        <v>20</v>
      </c>
    </row>
    <row r="570" spans="1:13" x14ac:dyDescent="0.25">
      <c r="A570" s="9">
        <v>46226</v>
      </c>
      <c r="B570">
        <v>2026</v>
      </c>
      <c r="C570" t="s">
        <v>5</v>
      </c>
      <c r="D570">
        <v>2429.1</v>
      </c>
      <c r="E570">
        <v>25</v>
      </c>
      <c r="F570">
        <v>32</v>
      </c>
      <c r="G570">
        <v>93</v>
      </c>
      <c r="H570" s="10">
        <v>1801</v>
      </c>
      <c r="I570">
        <v>0</v>
      </c>
      <c r="J570" t="s">
        <v>13</v>
      </c>
      <c r="K570" t="s">
        <v>2</v>
      </c>
      <c r="L570" t="s">
        <v>17</v>
      </c>
      <c r="M570" t="s">
        <v>6</v>
      </c>
    </row>
    <row r="571" spans="1:13" x14ac:dyDescent="0.25">
      <c r="A571" s="9">
        <v>46227</v>
      </c>
      <c r="B571">
        <v>2026</v>
      </c>
      <c r="C571" t="s">
        <v>5</v>
      </c>
      <c r="D571">
        <v>3798.9</v>
      </c>
      <c r="E571">
        <v>11</v>
      </c>
      <c r="F571">
        <v>52</v>
      </c>
      <c r="G571">
        <v>55</v>
      </c>
      <c r="H571" s="10">
        <v>361</v>
      </c>
      <c r="I571">
        <v>0</v>
      </c>
      <c r="J571" t="s">
        <v>3</v>
      </c>
      <c r="K571" t="s">
        <v>8</v>
      </c>
      <c r="L571" t="s">
        <v>10</v>
      </c>
      <c r="M571" t="s">
        <v>16</v>
      </c>
    </row>
    <row r="572" spans="1:13" x14ac:dyDescent="0.25">
      <c r="A572" s="9">
        <v>46228</v>
      </c>
      <c r="B572">
        <v>2026</v>
      </c>
      <c r="C572" t="s">
        <v>5</v>
      </c>
      <c r="D572">
        <v>3600</v>
      </c>
      <c r="E572">
        <v>30</v>
      </c>
      <c r="F572">
        <v>10</v>
      </c>
      <c r="G572">
        <v>303</v>
      </c>
      <c r="H572" s="10">
        <v>2484</v>
      </c>
      <c r="I572">
        <v>0</v>
      </c>
      <c r="J572" t="s">
        <v>3</v>
      </c>
      <c r="K572" t="s">
        <v>8</v>
      </c>
      <c r="L572" t="s">
        <v>17</v>
      </c>
      <c r="M572" t="s">
        <v>16</v>
      </c>
    </row>
    <row r="573" spans="1:13" x14ac:dyDescent="0.25">
      <c r="A573" s="9">
        <v>46229</v>
      </c>
      <c r="B573">
        <v>2026</v>
      </c>
      <c r="C573" t="s">
        <v>5</v>
      </c>
      <c r="D573">
        <v>4072.5</v>
      </c>
      <c r="E573">
        <v>25</v>
      </c>
      <c r="F573">
        <v>36</v>
      </c>
      <c r="G573">
        <v>314</v>
      </c>
      <c r="H573" s="10">
        <v>2116</v>
      </c>
      <c r="I573">
        <v>0</v>
      </c>
      <c r="J573" t="s">
        <v>3</v>
      </c>
      <c r="K573" t="s">
        <v>18</v>
      </c>
      <c r="L573" t="s">
        <v>17</v>
      </c>
      <c r="M573" t="s">
        <v>16</v>
      </c>
    </row>
    <row r="574" spans="1:13" x14ac:dyDescent="0.25">
      <c r="A574" s="9">
        <v>46230</v>
      </c>
      <c r="B574">
        <v>2026</v>
      </c>
      <c r="C574" t="s">
        <v>5</v>
      </c>
      <c r="D574">
        <v>1055.7</v>
      </c>
      <c r="E574">
        <v>24</v>
      </c>
      <c r="F574">
        <v>0</v>
      </c>
      <c r="G574">
        <v>153</v>
      </c>
      <c r="H574" s="10">
        <v>917</v>
      </c>
      <c r="I574">
        <v>0</v>
      </c>
      <c r="J574" t="s">
        <v>3</v>
      </c>
      <c r="K574" t="s">
        <v>8</v>
      </c>
      <c r="L574" t="s">
        <v>15</v>
      </c>
      <c r="M574" t="s">
        <v>9</v>
      </c>
    </row>
    <row r="575" spans="1:13" x14ac:dyDescent="0.25">
      <c r="A575" s="9">
        <v>46231</v>
      </c>
      <c r="B575">
        <v>2026</v>
      </c>
      <c r="C575" t="s">
        <v>5</v>
      </c>
      <c r="D575">
        <v>2597.4</v>
      </c>
      <c r="E575">
        <v>37</v>
      </c>
      <c r="F575">
        <v>4</v>
      </c>
      <c r="G575">
        <v>114</v>
      </c>
      <c r="H575" s="10">
        <v>563</v>
      </c>
      <c r="I575">
        <v>0</v>
      </c>
      <c r="J575" t="s">
        <v>13</v>
      </c>
      <c r="K575" t="s">
        <v>8</v>
      </c>
      <c r="L575" t="s">
        <v>10</v>
      </c>
      <c r="M575" t="s">
        <v>9</v>
      </c>
    </row>
    <row r="576" spans="1:13" x14ac:dyDescent="0.25">
      <c r="A576" s="9">
        <v>46232</v>
      </c>
      <c r="B576">
        <v>2026</v>
      </c>
      <c r="C576" t="s">
        <v>5</v>
      </c>
      <c r="D576">
        <v>3663</v>
      </c>
      <c r="E576">
        <v>33</v>
      </c>
      <c r="F576">
        <v>6</v>
      </c>
      <c r="G576">
        <v>371</v>
      </c>
      <c r="H576" s="10">
        <v>486</v>
      </c>
      <c r="I576">
        <v>0</v>
      </c>
      <c r="J576" t="s">
        <v>3</v>
      </c>
      <c r="K576" t="s">
        <v>11</v>
      </c>
      <c r="L576" t="s">
        <v>10</v>
      </c>
      <c r="M576" t="s">
        <v>9</v>
      </c>
    </row>
    <row r="577" spans="1:13" x14ac:dyDescent="0.25">
      <c r="A577" s="9">
        <v>46233</v>
      </c>
      <c r="B577">
        <v>2026</v>
      </c>
      <c r="C577" t="s">
        <v>5</v>
      </c>
      <c r="D577">
        <v>3595.5</v>
      </c>
      <c r="E577">
        <v>39</v>
      </c>
      <c r="F577">
        <v>21</v>
      </c>
      <c r="G577">
        <v>275</v>
      </c>
      <c r="H577" s="10">
        <v>1232</v>
      </c>
      <c r="I577">
        <v>0</v>
      </c>
      <c r="J577" t="s">
        <v>3</v>
      </c>
      <c r="K577" t="s">
        <v>8</v>
      </c>
      <c r="L577" t="s">
        <v>7</v>
      </c>
      <c r="M577" t="s">
        <v>6</v>
      </c>
    </row>
    <row r="578" spans="1:13" x14ac:dyDescent="0.25">
      <c r="A578" s="9">
        <v>46234</v>
      </c>
      <c r="B578">
        <v>2026</v>
      </c>
      <c r="C578" t="s">
        <v>5</v>
      </c>
      <c r="D578">
        <v>1822.5</v>
      </c>
      <c r="E578">
        <v>20</v>
      </c>
      <c r="F578">
        <v>27</v>
      </c>
      <c r="G578">
        <v>74</v>
      </c>
      <c r="H578" s="10">
        <v>1361</v>
      </c>
      <c r="I578">
        <v>0</v>
      </c>
      <c r="J578" t="s">
        <v>3</v>
      </c>
      <c r="K578" t="s">
        <v>2</v>
      </c>
      <c r="L578" t="s">
        <v>1</v>
      </c>
      <c r="M578" t="s">
        <v>0</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C9092D-0153-43B5-92CF-195F15A365DF}">
  <sheetPr>
    <tabColor theme="0"/>
  </sheetPr>
  <dimension ref="A1:V19"/>
  <sheetViews>
    <sheetView showGridLines="0" zoomScale="88" workbookViewId="0">
      <selection activeCell="G14" sqref="G14"/>
    </sheetView>
  </sheetViews>
  <sheetFormatPr defaultRowHeight="16.5" x14ac:dyDescent="0.3"/>
  <cols>
    <col min="1" max="2" width="11.28515625" style="11" bestFit="1" customWidth="1"/>
    <col min="3" max="3" width="16.28515625" style="11" bestFit="1" customWidth="1"/>
    <col min="4" max="4" width="22.5703125" style="11" bestFit="1" customWidth="1"/>
    <col min="5" max="5" width="18.42578125" style="11" bestFit="1" customWidth="1"/>
    <col min="6" max="6" width="17.85546875" style="11" bestFit="1" customWidth="1"/>
    <col min="7" max="7" width="9.140625" style="11"/>
    <col min="8" max="8" width="16.85546875" style="11" bestFit="1" customWidth="1"/>
    <col min="9" max="9" width="11.28515625" style="11" bestFit="1" customWidth="1"/>
    <col min="10" max="10" width="9.140625" style="11"/>
    <col min="11" max="12" width="11.28515625" style="11" bestFit="1" customWidth="1"/>
    <col min="13" max="13" width="9.140625" style="11"/>
    <col min="14" max="14" width="11.28515625" style="11" bestFit="1" customWidth="1"/>
    <col min="15" max="15" width="23.28515625" style="11" bestFit="1" customWidth="1"/>
    <col min="16" max="16" width="9.140625" style="11"/>
    <col min="17" max="17" width="20.28515625" style="11" bestFit="1" customWidth="1"/>
    <col min="18" max="18" width="13.85546875" style="11" bestFit="1" customWidth="1"/>
    <col min="19" max="19" width="9.140625" style="11"/>
    <col min="20" max="20" width="11.28515625" style="11" bestFit="1" customWidth="1"/>
    <col min="21" max="21" width="7.7109375" style="11" bestFit="1" customWidth="1"/>
    <col min="22" max="22" width="8.42578125" style="11" bestFit="1" customWidth="1"/>
    <col min="23" max="16384" width="9.140625" style="11"/>
  </cols>
  <sheetData>
    <row r="1" spans="1:22" ht="27.95" customHeight="1" x14ac:dyDescent="0.3"/>
    <row r="2" spans="1:22" x14ac:dyDescent="0.3">
      <c r="A2" s="39" t="s">
        <v>428</v>
      </c>
      <c r="B2" s="39"/>
      <c r="C2" s="39"/>
      <c r="D2" s="39"/>
      <c r="E2" s="39"/>
      <c r="F2" s="39"/>
      <c r="H2" s="38" t="s">
        <v>429</v>
      </c>
      <c r="I2" s="38"/>
      <c r="J2"/>
      <c r="K2" s="36" t="s">
        <v>430</v>
      </c>
      <c r="L2" s="37"/>
      <c r="M2"/>
      <c r="N2" s="38" t="s">
        <v>432</v>
      </c>
      <c r="O2" s="38"/>
      <c r="P2"/>
      <c r="Q2" s="38" t="s">
        <v>434</v>
      </c>
      <c r="R2" s="38"/>
      <c r="S2"/>
      <c r="T2" s="38" t="s">
        <v>428</v>
      </c>
      <c r="U2" s="38"/>
      <c r="V2" s="38"/>
    </row>
    <row r="3" spans="1:22" x14ac:dyDescent="0.3">
      <c r="A3" s="16" t="s">
        <v>419</v>
      </c>
      <c r="B3" s="17" t="s">
        <v>422</v>
      </c>
      <c r="C3" s="17" t="s">
        <v>423</v>
      </c>
      <c r="D3" s="17" t="s">
        <v>424</v>
      </c>
      <c r="E3" s="17" t="s">
        <v>425</v>
      </c>
      <c r="F3" s="17" t="s">
        <v>426</v>
      </c>
      <c r="H3" s="16" t="s">
        <v>410</v>
      </c>
      <c r="I3" s="17" t="s">
        <v>422</v>
      </c>
      <c r="J3"/>
      <c r="K3" s="16" t="s">
        <v>411</v>
      </c>
      <c r="L3" s="17" t="s">
        <v>422</v>
      </c>
      <c r="M3"/>
      <c r="N3" s="16" t="s">
        <v>419</v>
      </c>
      <c r="O3" s="17" t="s">
        <v>431</v>
      </c>
      <c r="P3"/>
      <c r="Q3" s="16" t="s">
        <v>409</v>
      </c>
      <c r="R3" s="17" t="s">
        <v>433</v>
      </c>
      <c r="S3"/>
      <c r="T3" s="16" t="s">
        <v>422</v>
      </c>
      <c r="U3" s="16" t="s">
        <v>421</v>
      </c>
      <c r="V3" s="17"/>
    </row>
    <row r="4" spans="1:22" x14ac:dyDescent="0.3">
      <c r="A4" s="17" t="s">
        <v>34</v>
      </c>
      <c r="B4" s="18">
        <v>164327</v>
      </c>
      <c r="C4" s="18">
        <v>1531</v>
      </c>
      <c r="D4" s="18">
        <v>14536</v>
      </c>
      <c r="E4" s="18">
        <v>72829.069999999992</v>
      </c>
      <c r="F4" s="19">
        <v>20.93548387096774</v>
      </c>
      <c r="H4" s="17" t="s">
        <v>1</v>
      </c>
      <c r="I4" s="18">
        <v>289264.94</v>
      </c>
      <c r="J4"/>
      <c r="K4" s="17" t="s">
        <v>11</v>
      </c>
      <c r="L4" s="18">
        <v>350488.9</v>
      </c>
      <c r="M4"/>
      <c r="N4" s="17" t="s">
        <v>34</v>
      </c>
      <c r="O4" s="18">
        <v>1531</v>
      </c>
      <c r="P4"/>
      <c r="Q4" s="17" t="s">
        <v>0</v>
      </c>
      <c r="R4" s="18">
        <v>165615.26999999996</v>
      </c>
      <c r="S4"/>
      <c r="T4" s="16" t="s">
        <v>419</v>
      </c>
      <c r="U4" s="17">
        <v>2025</v>
      </c>
      <c r="V4" s="17">
        <v>2026</v>
      </c>
    </row>
    <row r="5" spans="1:22" x14ac:dyDescent="0.3">
      <c r="A5" s="17" t="s">
        <v>32</v>
      </c>
      <c r="B5" s="18">
        <v>160948</v>
      </c>
      <c r="C5" s="18">
        <v>1328</v>
      </c>
      <c r="D5" s="18">
        <v>13110</v>
      </c>
      <c r="E5" s="18">
        <v>62348.21</v>
      </c>
      <c r="F5" s="19">
        <v>22.142857142857142</v>
      </c>
      <c r="H5" s="17" t="s">
        <v>21</v>
      </c>
      <c r="I5" s="18">
        <v>135560.6</v>
      </c>
      <c r="J5"/>
      <c r="K5" s="17" t="s">
        <v>18</v>
      </c>
      <c r="L5" s="18">
        <v>953468.79999999993</v>
      </c>
      <c r="M5"/>
      <c r="N5" s="17" t="s">
        <v>32</v>
      </c>
      <c r="O5" s="18">
        <v>1328</v>
      </c>
      <c r="P5"/>
      <c r="Q5" s="17" t="s">
        <v>209</v>
      </c>
      <c r="R5" s="18">
        <v>106779.27</v>
      </c>
      <c r="S5"/>
      <c r="T5" s="17" t="s">
        <v>34</v>
      </c>
      <c r="U5" s="18">
        <v>76271</v>
      </c>
      <c r="V5" s="18">
        <v>88056</v>
      </c>
    </row>
    <row r="6" spans="1:22" x14ac:dyDescent="0.3">
      <c r="A6" s="17" t="s">
        <v>31</v>
      </c>
      <c r="B6" s="18">
        <v>167799</v>
      </c>
      <c r="C6" s="18">
        <v>1594</v>
      </c>
      <c r="D6" s="18">
        <v>14988</v>
      </c>
      <c r="E6" s="18">
        <v>75948.479999999996</v>
      </c>
      <c r="F6" s="19">
        <v>25.193548387096776</v>
      </c>
      <c r="H6" s="17" t="s">
        <v>15</v>
      </c>
      <c r="I6" s="18">
        <v>141528.29999999999</v>
      </c>
      <c r="J6"/>
      <c r="K6" s="17" t="s">
        <v>2</v>
      </c>
      <c r="L6" s="18">
        <v>194435.39999999994</v>
      </c>
      <c r="M6"/>
      <c r="N6" s="17" t="s">
        <v>31</v>
      </c>
      <c r="O6" s="18">
        <v>1594</v>
      </c>
      <c r="P6"/>
      <c r="Q6" s="17" t="s">
        <v>162</v>
      </c>
      <c r="R6" s="18">
        <v>62127.829999999994</v>
      </c>
      <c r="S6"/>
      <c r="T6" s="17" t="s">
        <v>32</v>
      </c>
      <c r="U6" s="18">
        <v>76239</v>
      </c>
      <c r="V6" s="18">
        <v>84709</v>
      </c>
    </row>
    <row r="7" spans="1:22" x14ac:dyDescent="0.3">
      <c r="A7" s="17" t="s">
        <v>27</v>
      </c>
      <c r="B7" s="18">
        <v>178561</v>
      </c>
      <c r="C7" s="18">
        <v>1447</v>
      </c>
      <c r="D7" s="18">
        <v>14873</v>
      </c>
      <c r="E7" s="18">
        <v>71439.919999999984</v>
      </c>
      <c r="F7" s="19">
        <v>25.533333333333335</v>
      </c>
      <c r="H7" s="17" t="s">
        <v>17</v>
      </c>
      <c r="I7" s="18">
        <v>203122.1</v>
      </c>
      <c r="J7"/>
      <c r="K7" s="17" t="s">
        <v>8</v>
      </c>
      <c r="L7" s="18">
        <v>132285.94</v>
      </c>
      <c r="M7"/>
      <c r="N7" s="17" t="s">
        <v>27</v>
      </c>
      <c r="O7" s="18">
        <v>1447</v>
      </c>
      <c r="P7"/>
      <c r="Q7" s="17" t="s">
        <v>6</v>
      </c>
      <c r="R7" s="18">
        <v>51470.58</v>
      </c>
      <c r="S7"/>
      <c r="T7" s="17" t="s">
        <v>31</v>
      </c>
      <c r="U7" s="18">
        <v>67395</v>
      </c>
      <c r="V7" s="18">
        <v>100404</v>
      </c>
    </row>
    <row r="8" spans="1:22" x14ac:dyDescent="0.3">
      <c r="A8" s="17" t="s">
        <v>23</v>
      </c>
      <c r="B8" s="18">
        <v>192043</v>
      </c>
      <c r="C8" s="18">
        <v>1629</v>
      </c>
      <c r="D8" s="18">
        <v>16279</v>
      </c>
      <c r="E8" s="18">
        <v>81575.420000000013</v>
      </c>
      <c r="F8" s="19">
        <v>24.93548387096774</v>
      </c>
      <c r="H8" s="17" t="s">
        <v>10</v>
      </c>
      <c r="I8" s="18">
        <v>425255.19999999995</v>
      </c>
      <c r="J8"/>
      <c r="K8" s="17" t="s">
        <v>427</v>
      </c>
      <c r="L8" s="20">
        <v>1630679.0399999998</v>
      </c>
      <c r="M8"/>
      <c r="N8" s="17" t="s">
        <v>23</v>
      </c>
      <c r="O8" s="18">
        <v>1629</v>
      </c>
      <c r="P8"/>
      <c r="Q8" s="17" t="s">
        <v>120</v>
      </c>
      <c r="R8" s="18">
        <v>48082.81</v>
      </c>
      <c r="S8"/>
      <c r="T8" s="17" t="s">
        <v>27</v>
      </c>
      <c r="U8" s="18">
        <v>91399</v>
      </c>
      <c r="V8" s="18">
        <v>87162</v>
      </c>
    </row>
    <row r="9" spans="1:22" x14ac:dyDescent="0.3">
      <c r="A9" s="17" t="s">
        <v>22</v>
      </c>
      <c r="B9" s="18">
        <v>180433.64</v>
      </c>
      <c r="C9" s="18">
        <v>1509</v>
      </c>
      <c r="D9" s="18">
        <v>13502</v>
      </c>
      <c r="E9" s="18">
        <v>74498.19</v>
      </c>
      <c r="F9" s="19">
        <v>22.783333333333335</v>
      </c>
      <c r="H9" s="17" t="s">
        <v>7</v>
      </c>
      <c r="I9" s="18">
        <v>435947.90000000008</v>
      </c>
      <c r="J9"/>
      <c r="M9"/>
      <c r="N9" s="17" t="s">
        <v>22</v>
      </c>
      <c r="O9" s="18">
        <v>1509</v>
      </c>
      <c r="P9"/>
      <c r="Q9" s="17" t="s">
        <v>83</v>
      </c>
      <c r="R9" s="18">
        <v>41971.209999999985</v>
      </c>
      <c r="S9"/>
      <c r="T9" s="17" t="s">
        <v>23</v>
      </c>
      <c r="U9" s="18">
        <v>99963</v>
      </c>
      <c r="V9" s="18">
        <v>92080</v>
      </c>
    </row>
    <row r="10" spans="1:22" x14ac:dyDescent="0.3">
      <c r="A10" s="17" t="s">
        <v>5</v>
      </c>
      <c r="B10" s="18">
        <v>165220.4</v>
      </c>
      <c r="C10" s="18">
        <v>1508</v>
      </c>
      <c r="D10" s="18">
        <v>14238</v>
      </c>
      <c r="E10" s="18">
        <v>82908.22</v>
      </c>
      <c r="F10" s="19">
        <v>25.161290322580644</v>
      </c>
      <c r="H10" s="17" t="s">
        <v>427</v>
      </c>
      <c r="I10" s="20">
        <v>1630679.0400000003</v>
      </c>
      <c r="J10"/>
      <c r="K10"/>
      <c r="L10"/>
      <c r="M10"/>
      <c r="N10" s="17" t="s">
        <v>5</v>
      </c>
      <c r="O10" s="18">
        <v>1508</v>
      </c>
      <c r="P10"/>
      <c r="Q10" s="17" t="s">
        <v>20</v>
      </c>
      <c r="R10" s="18">
        <v>41533.919999999998</v>
      </c>
      <c r="S10"/>
      <c r="T10" s="17" t="s">
        <v>22</v>
      </c>
      <c r="U10" s="18">
        <v>94232</v>
      </c>
      <c r="V10" s="18">
        <v>86201.64</v>
      </c>
    </row>
    <row r="11" spans="1:22" x14ac:dyDescent="0.3">
      <c r="A11" s="17" t="s">
        <v>165</v>
      </c>
      <c r="B11" s="18">
        <v>82157</v>
      </c>
      <c r="C11" s="18">
        <v>851</v>
      </c>
      <c r="D11" s="18">
        <v>7316</v>
      </c>
      <c r="E11" s="18">
        <v>41921.879999999997</v>
      </c>
      <c r="F11" s="19">
        <v>21.451612903225808</v>
      </c>
      <c r="H11"/>
      <c r="I11"/>
      <c r="J11"/>
      <c r="K11"/>
      <c r="L11"/>
      <c r="M11"/>
      <c r="N11" s="17" t="s">
        <v>165</v>
      </c>
      <c r="O11" s="18">
        <v>851</v>
      </c>
      <c r="P11"/>
      <c r="Q11" s="17" t="s">
        <v>16</v>
      </c>
      <c r="R11" s="18">
        <v>40606.740000000005</v>
      </c>
      <c r="S11"/>
      <c r="T11" s="17" t="s">
        <v>5</v>
      </c>
      <c r="U11" s="18">
        <v>85295</v>
      </c>
      <c r="V11" s="18">
        <v>79925.39999999998</v>
      </c>
    </row>
    <row r="12" spans="1:22" x14ac:dyDescent="0.3">
      <c r="A12" s="17" t="s">
        <v>133</v>
      </c>
      <c r="B12" s="18">
        <v>75182</v>
      </c>
      <c r="C12" s="18">
        <v>555</v>
      </c>
      <c r="D12" s="18">
        <v>7080</v>
      </c>
      <c r="E12" s="18">
        <v>36286.51</v>
      </c>
      <c r="F12" s="19">
        <v>22.366666666666667</v>
      </c>
      <c r="H12"/>
      <c r="I12"/>
      <c r="J12"/>
      <c r="K12"/>
      <c r="L12"/>
      <c r="M12"/>
      <c r="N12" s="17" t="s">
        <v>133</v>
      </c>
      <c r="O12" s="18">
        <v>555</v>
      </c>
      <c r="P12"/>
      <c r="Q12" s="17" t="s">
        <v>51</v>
      </c>
      <c r="R12" s="18">
        <v>36951.390000000007</v>
      </c>
      <c r="S12"/>
      <c r="T12" s="17" t="s">
        <v>165</v>
      </c>
      <c r="U12" s="18">
        <v>82157</v>
      </c>
      <c r="V12" s="22"/>
    </row>
    <row r="13" spans="1:22" x14ac:dyDescent="0.3">
      <c r="A13" s="17" t="s">
        <v>100</v>
      </c>
      <c r="B13" s="18">
        <v>88470</v>
      </c>
      <c r="C13" s="18">
        <v>783</v>
      </c>
      <c r="D13" s="18">
        <v>6347</v>
      </c>
      <c r="E13" s="18">
        <v>36637.35</v>
      </c>
      <c r="F13" s="19">
        <v>30.419354838709676</v>
      </c>
      <c r="H13"/>
      <c r="I13"/>
      <c r="J13"/>
      <c r="K13"/>
      <c r="L13"/>
      <c r="M13"/>
      <c r="N13" s="17" t="s">
        <v>100</v>
      </c>
      <c r="O13" s="18">
        <v>783</v>
      </c>
      <c r="P13"/>
      <c r="Q13" s="17" t="s">
        <v>33</v>
      </c>
      <c r="R13" s="18">
        <v>29267</v>
      </c>
      <c r="S13"/>
      <c r="T13" s="17" t="s">
        <v>133</v>
      </c>
      <c r="U13" s="18">
        <v>75182</v>
      </c>
      <c r="V13" s="22"/>
    </row>
    <row r="14" spans="1:22" x14ac:dyDescent="0.3">
      <c r="A14" s="17" t="s">
        <v>68</v>
      </c>
      <c r="B14" s="18">
        <v>78853</v>
      </c>
      <c r="C14" s="18">
        <v>789</v>
      </c>
      <c r="D14" s="18">
        <v>7482</v>
      </c>
      <c r="E14" s="18">
        <v>40744.05000000001</v>
      </c>
      <c r="F14" s="19">
        <v>22.4</v>
      </c>
      <c r="H14"/>
      <c r="I14"/>
      <c r="J14"/>
      <c r="K14"/>
      <c r="L14"/>
      <c r="M14"/>
      <c r="N14" s="17" t="s">
        <v>68</v>
      </c>
      <c r="O14" s="18">
        <v>789</v>
      </c>
      <c r="P14"/>
      <c r="Q14" s="17" t="s">
        <v>30</v>
      </c>
      <c r="R14" s="18">
        <v>23501.94</v>
      </c>
      <c r="S14"/>
      <c r="T14" s="17" t="s">
        <v>100</v>
      </c>
      <c r="U14" s="18">
        <v>88470</v>
      </c>
      <c r="V14" s="22"/>
    </row>
    <row r="15" spans="1:22" x14ac:dyDescent="0.3">
      <c r="A15" s="17" t="s">
        <v>35</v>
      </c>
      <c r="B15" s="18">
        <v>96685</v>
      </c>
      <c r="C15" s="18">
        <v>860</v>
      </c>
      <c r="D15" s="18">
        <v>7064</v>
      </c>
      <c r="E15" s="18">
        <v>37382.62999999999</v>
      </c>
      <c r="F15" s="19">
        <v>23.774193548387096</v>
      </c>
      <c r="H15"/>
      <c r="I15"/>
      <c r="J15"/>
      <c r="K15"/>
      <c r="L15"/>
      <c r="M15"/>
      <c r="N15" s="17" t="s">
        <v>35</v>
      </c>
      <c r="O15" s="18">
        <v>860</v>
      </c>
      <c r="P15"/>
      <c r="Q15" s="17" t="s">
        <v>28</v>
      </c>
      <c r="R15" s="18">
        <v>18852.509999999998</v>
      </c>
      <c r="S15"/>
      <c r="T15" s="17" t="s">
        <v>68</v>
      </c>
      <c r="U15" s="18">
        <v>78853</v>
      </c>
      <c r="V15" s="22"/>
    </row>
    <row r="16" spans="1:22" x14ac:dyDescent="0.3">
      <c r="A16" s="17" t="s">
        <v>427</v>
      </c>
      <c r="B16" s="20">
        <v>1630679.0399999996</v>
      </c>
      <c r="C16" s="18">
        <v>14384</v>
      </c>
      <c r="D16" s="18">
        <v>136815</v>
      </c>
      <c r="E16" s="18">
        <v>714519.9299999997</v>
      </c>
      <c r="F16" s="19">
        <v>23.904679376083187</v>
      </c>
      <c r="H16"/>
      <c r="I16"/>
      <c r="J16"/>
      <c r="K16"/>
      <c r="L16"/>
      <c r="M16"/>
      <c r="N16" s="17" t="s">
        <v>427</v>
      </c>
      <c r="O16" s="18">
        <v>14384</v>
      </c>
      <c r="P16"/>
      <c r="Q16" s="17" t="s">
        <v>26</v>
      </c>
      <c r="R16" s="18">
        <v>18780.379999999997</v>
      </c>
      <c r="S16"/>
      <c r="T16" s="17" t="s">
        <v>35</v>
      </c>
      <c r="U16" s="18">
        <v>96685</v>
      </c>
      <c r="V16" s="22"/>
    </row>
    <row r="17" spans="1:22" x14ac:dyDescent="0.3">
      <c r="A17"/>
      <c r="B17"/>
      <c r="C17"/>
      <c r="H17"/>
      <c r="I17"/>
      <c r="J17"/>
      <c r="K17"/>
      <c r="L17"/>
      <c r="M17"/>
      <c r="N17"/>
      <c r="O17"/>
      <c r="P17"/>
      <c r="Q17" s="17" t="s">
        <v>24</v>
      </c>
      <c r="R17" s="18">
        <v>16672.080000000002</v>
      </c>
      <c r="S17"/>
      <c r="T17"/>
      <c r="U17"/>
      <c r="V17"/>
    </row>
    <row r="18" spans="1:22" x14ac:dyDescent="0.3">
      <c r="A18"/>
      <c r="B18"/>
      <c r="C18"/>
      <c r="H18"/>
      <c r="I18"/>
      <c r="J18"/>
      <c r="K18"/>
      <c r="L18"/>
      <c r="M18"/>
      <c r="N18"/>
      <c r="O18"/>
      <c r="P18"/>
      <c r="Q18" s="17" t="s">
        <v>9</v>
      </c>
      <c r="R18" s="18">
        <v>12307</v>
      </c>
      <c r="S18"/>
      <c r="T18"/>
      <c r="U18"/>
      <c r="V18"/>
    </row>
    <row r="19" spans="1:22" x14ac:dyDescent="0.3">
      <c r="A19"/>
      <c r="B19"/>
      <c r="C19"/>
      <c r="H19"/>
      <c r="I19"/>
      <c r="J19"/>
      <c r="K19"/>
      <c r="L19"/>
      <c r="M19"/>
      <c r="N19"/>
      <c r="O19"/>
      <c r="P19"/>
      <c r="Q19" s="17" t="s">
        <v>427</v>
      </c>
      <c r="R19" s="21">
        <v>714519.92999999993</v>
      </c>
      <c r="S19"/>
      <c r="T19"/>
      <c r="U19"/>
      <c r="V19"/>
    </row>
  </sheetData>
  <mergeCells count="6">
    <mergeCell ref="K2:L2"/>
    <mergeCell ref="T2:V2"/>
    <mergeCell ref="A2:F2"/>
    <mergeCell ref="H2:I2"/>
    <mergeCell ref="N2:O2"/>
    <mergeCell ref="Q2:R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13087-558C-4DFB-9B2C-A653A8F7882C}">
  <sheetPr>
    <tabColor theme="0"/>
  </sheetPr>
  <dimension ref="A1:AB31"/>
  <sheetViews>
    <sheetView showGridLines="0" zoomScale="65" zoomScaleNormal="40" workbookViewId="0">
      <selection activeCell="Z14" sqref="Z14"/>
    </sheetView>
  </sheetViews>
  <sheetFormatPr defaultRowHeight="21" customHeight="1" x14ac:dyDescent="0.3"/>
  <cols>
    <col min="1" max="3" width="12.7109375" style="12" customWidth="1"/>
    <col min="4" max="23" width="11.28515625" style="12" customWidth="1"/>
    <col min="24" max="24" width="1.28515625" style="12" customWidth="1"/>
    <col min="25" max="26" width="9.140625" style="12"/>
    <col min="27" max="31" width="0" style="12" hidden="1" customWidth="1"/>
    <col min="32" max="16384" width="9.140625" style="12"/>
  </cols>
  <sheetData>
    <row r="1" spans="1:28" ht="30" customHeight="1" x14ac:dyDescent="0.3">
      <c r="A1" s="23"/>
      <c r="B1" s="40" t="s">
        <v>435</v>
      </c>
      <c r="C1" s="40"/>
      <c r="D1" s="40"/>
      <c r="E1" s="40"/>
      <c r="F1" s="40"/>
      <c r="G1" s="40"/>
      <c r="H1" s="40"/>
      <c r="I1" s="40"/>
      <c r="J1" s="40"/>
      <c r="K1" s="40"/>
      <c r="L1" s="40"/>
      <c r="M1" s="40"/>
      <c r="N1" s="40"/>
      <c r="O1" s="40"/>
      <c r="P1" s="40"/>
      <c r="Q1" s="40"/>
      <c r="R1" s="40"/>
      <c r="S1" s="40"/>
      <c r="T1" s="40"/>
      <c r="U1" s="40"/>
      <c r="V1" s="40"/>
      <c r="W1" s="40"/>
      <c r="AA1" s="12" t="s">
        <v>436</v>
      </c>
    </row>
    <row r="2" spans="1:28" ht="30" customHeight="1" x14ac:dyDescent="0.3">
      <c r="A2" s="23"/>
      <c r="B2" s="40"/>
      <c r="C2" s="40"/>
      <c r="D2" s="40"/>
      <c r="E2" s="40"/>
      <c r="F2" s="40"/>
      <c r="G2" s="40"/>
      <c r="H2" s="40"/>
      <c r="I2" s="40"/>
      <c r="J2" s="40"/>
      <c r="K2" s="40"/>
      <c r="L2" s="40"/>
      <c r="M2" s="40"/>
      <c r="N2" s="40"/>
      <c r="O2" s="40"/>
      <c r="P2" s="40"/>
      <c r="Q2" s="40"/>
      <c r="R2" s="40"/>
      <c r="S2" s="40"/>
      <c r="T2" s="40"/>
      <c r="U2" s="40"/>
      <c r="V2" s="40"/>
      <c r="W2" s="40"/>
      <c r="AA2" s="13">
        <f>GETPIVOTDATA("Total Subscribers",'V4'!$A$3)</f>
        <v>14384</v>
      </c>
      <c r="AB2" s="12" t="str">
        <f>TEXT(AA2,"#,##0")</f>
        <v>14,384</v>
      </c>
    </row>
    <row r="3" spans="1:28" ht="9.6" customHeight="1" x14ac:dyDescent="0.3">
      <c r="A3" s="23"/>
      <c r="B3" s="40"/>
      <c r="C3" s="40"/>
      <c r="D3" s="40"/>
      <c r="E3" s="40"/>
      <c r="F3" s="40"/>
      <c r="G3" s="40"/>
      <c r="H3" s="40"/>
      <c r="I3" s="40"/>
      <c r="J3" s="40"/>
      <c r="K3" s="40"/>
      <c r="L3" s="40"/>
      <c r="M3" s="40"/>
      <c r="N3" s="40"/>
      <c r="O3" s="40"/>
      <c r="P3" s="40"/>
      <c r="Q3" s="40"/>
      <c r="R3" s="40"/>
      <c r="S3" s="40"/>
      <c r="T3" s="40"/>
      <c r="U3" s="40"/>
      <c r="V3" s="40"/>
      <c r="W3" s="40"/>
      <c r="AA3" s="13">
        <f>GETPIVOTDATA("Total Views",'V4'!$A$3)</f>
        <v>1630679.0399999996</v>
      </c>
      <c r="AB3" s="12" t="str">
        <f>TEXT(AA3,"#,##0")</f>
        <v>1,630,679</v>
      </c>
    </row>
    <row r="4" spans="1:28" ht="24" customHeight="1" x14ac:dyDescent="0.3">
      <c r="A4" s="23"/>
      <c r="B4" s="23"/>
      <c r="C4" s="23"/>
      <c r="D4" s="23"/>
      <c r="E4" s="23"/>
      <c r="F4" s="23"/>
      <c r="G4" s="23"/>
      <c r="H4" s="23"/>
      <c r="I4" s="23"/>
      <c r="J4" s="23"/>
      <c r="K4" s="23"/>
      <c r="L4" s="23"/>
      <c r="M4" s="23"/>
      <c r="N4" s="23"/>
      <c r="O4" s="23"/>
      <c r="P4" s="23"/>
      <c r="Q4" s="23"/>
      <c r="R4" s="23"/>
      <c r="S4" s="23"/>
      <c r="T4" s="23"/>
      <c r="U4" s="23"/>
      <c r="V4" s="23"/>
      <c r="W4" s="23"/>
      <c r="AA4" s="13">
        <f>GETPIVOTDATA("Total Watch Time Hours",'V4'!$A$3)</f>
        <v>136815</v>
      </c>
      <c r="AB4" s="12" t="str">
        <f>TEXT(AA4,"#,##0")</f>
        <v>136,815</v>
      </c>
    </row>
    <row r="5" spans="1:28" ht="24" customHeight="1" x14ac:dyDescent="0.3">
      <c r="A5" s="23"/>
      <c r="B5" s="23"/>
      <c r="C5" s="23"/>
      <c r="D5" s="23"/>
      <c r="E5" s="23"/>
      <c r="F5" s="23"/>
      <c r="G5" s="23"/>
      <c r="H5" s="23"/>
      <c r="I5" s="23"/>
      <c r="J5" s="23"/>
      <c r="K5" s="23"/>
      <c r="L5" s="23"/>
      <c r="M5" s="23"/>
      <c r="N5" s="23"/>
      <c r="O5" s="23"/>
      <c r="P5" s="23"/>
      <c r="Q5" s="23"/>
      <c r="R5" s="23"/>
      <c r="S5" s="23"/>
      <c r="T5" s="23"/>
      <c r="U5" s="23"/>
      <c r="V5" s="23"/>
      <c r="W5" s="23"/>
      <c r="AA5" s="14">
        <f>GETPIVOTDATA("Estimated Revenue",'V4'!$A$3)</f>
        <v>714519.9299999997</v>
      </c>
      <c r="AB5" s="12" t="str">
        <f>TEXT(AA5,"$#,##0")</f>
        <v>$714,520</v>
      </c>
    </row>
    <row r="6" spans="1:28" ht="24" customHeight="1" x14ac:dyDescent="0.3">
      <c r="A6" s="23"/>
      <c r="B6" s="23"/>
      <c r="C6" s="23"/>
      <c r="D6" s="23"/>
      <c r="E6" s="23"/>
      <c r="F6" s="23"/>
      <c r="G6" s="23"/>
      <c r="H6" s="23"/>
      <c r="I6" s="23"/>
      <c r="J6" s="23"/>
      <c r="K6" s="23"/>
      <c r="L6" s="23"/>
      <c r="M6" s="23"/>
      <c r="N6" s="23"/>
      <c r="O6" s="23"/>
      <c r="P6" s="23"/>
      <c r="Q6" s="23"/>
      <c r="R6" s="23"/>
      <c r="S6" s="23"/>
      <c r="T6" s="23"/>
      <c r="U6" s="23"/>
      <c r="V6" s="23"/>
      <c r="W6" s="23"/>
      <c r="AA6" s="15">
        <f>GETPIVOTDATA("Avg View Duration",'V4'!$A$3)</f>
        <v>23.904679376083187</v>
      </c>
      <c r="AB6" s="12" t="str">
        <f>TEXT(AA6,"0.0")</f>
        <v>23.9</v>
      </c>
    </row>
    <row r="7" spans="1:28" ht="24" customHeight="1" x14ac:dyDescent="0.3">
      <c r="A7" s="23"/>
      <c r="B7" s="23"/>
      <c r="C7" s="23"/>
      <c r="D7" s="23"/>
      <c r="E7" s="23"/>
      <c r="F7" s="23"/>
      <c r="G7" s="23"/>
      <c r="H7" s="23"/>
      <c r="I7" s="23"/>
      <c r="J7" s="23"/>
      <c r="K7" s="23"/>
      <c r="L7" s="23"/>
      <c r="M7" s="23"/>
      <c r="N7" s="23"/>
      <c r="O7" s="23"/>
      <c r="P7" s="23"/>
      <c r="Q7" s="23"/>
      <c r="R7" s="23"/>
      <c r="S7" s="23"/>
      <c r="T7" s="23"/>
      <c r="U7" s="23"/>
      <c r="V7" s="23"/>
      <c r="W7" s="23"/>
    </row>
    <row r="8" spans="1:28" ht="24" customHeight="1" x14ac:dyDescent="0.3">
      <c r="A8" s="23"/>
      <c r="B8" s="23"/>
      <c r="C8" s="23"/>
      <c r="D8" s="23"/>
      <c r="E8" s="23"/>
      <c r="F8" s="23"/>
      <c r="G8" s="23"/>
      <c r="H8" s="23"/>
      <c r="I8" s="23"/>
      <c r="J8" s="23"/>
      <c r="K8" s="23"/>
      <c r="L8" s="23"/>
      <c r="M8" s="23"/>
      <c r="N8" s="23"/>
      <c r="O8" s="23"/>
      <c r="P8" s="23"/>
      <c r="Q8" s="23"/>
      <c r="R8" s="23"/>
      <c r="S8" s="23"/>
      <c r="T8" s="23"/>
      <c r="U8" s="23"/>
      <c r="V8" s="23"/>
      <c r="W8" s="23"/>
    </row>
    <row r="9" spans="1:28" ht="24" customHeight="1" x14ac:dyDescent="0.3">
      <c r="A9" s="23"/>
      <c r="B9" s="23"/>
      <c r="C9" s="23"/>
      <c r="D9" s="23"/>
      <c r="E9" s="23"/>
      <c r="F9" s="23"/>
      <c r="G9" s="23"/>
      <c r="H9" s="23"/>
      <c r="I9" s="23"/>
      <c r="J9" s="23"/>
      <c r="K9" s="23"/>
      <c r="L9" s="23"/>
      <c r="M9" s="23"/>
      <c r="N9" s="23"/>
      <c r="O9" s="23"/>
      <c r="P9" s="23"/>
      <c r="Q9" s="23"/>
      <c r="R9" s="23"/>
      <c r="S9" s="23"/>
      <c r="T9" s="23"/>
      <c r="U9" s="23"/>
      <c r="V9" s="23"/>
      <c r="W9" s="23"/>
    </row>
    <row r="10" spans="1:28" ht="21.95" customHeight="1" x14ac:dyDescent="0.3">
      <c r="A10" s="23"/>
      <c r="B10" s="23"/>
      <c r="C10" s="23"/>
      <c r="D10" s="23"/>
      <c r="E10" s="23"/>
      <c r="F10" s="23"/>
      <c r="G10" s="23"/>
      <c r="H10" s="23"/>
      <c r="I10" s="23"/>
      <c r="J10" s="23"/>
      <c r="K10" s="23"/>
      <c r="L10" s="23"/>
      <c r="M10" s="23"/>
      <c r="N10" s="23"/>
      <c r="O10" s="23"/>
      <c r="P10" s="23"/>
      <c r="Q10" s="23"/>
      <c r="R10" s="23"/>
      <c r="S10" s="23"/>
      <c r="T10" s="23"/>
      <c r="U10" s="23"/>
      <c r="V10" s="23"/>
      <c r="W10" s="23"/>
    </row>
    <row r="11" spans="1:28" ht="21.95" customHeight="1" x14ac:dyDescent="0.3">
      <c r="A11" s="23"/>
      <c r="B11" s="23"/>
      <c r="C11" s="23"/>
      <c r="D11" s="23"/>
      <c r="E11" s="23"/>
      <c r="F11" s="23"/>
      <c r="G11" s="23"/>
      <c r="H11" s="23"/>
      <c r="I11" s="23"/>
      <c r="J11" s="23"/>
      <c r="K11" s="23"/>
      <c r="L11" s="23"/>
      <c r="M11" s="23"/>
      <c r="N11" s="23"/>
      <c r="O11" s="23"/>
      <c r="P11" s="23"/>
      <c r="Q11" s="23"/>
      <c r="R11" s="23"/>
      <c r="S11" s="23"/>
      <c r="T11" s="23"/>
      <c r="U11" s="23"/>
      <c r="V11" s="23"/>
      <c r="W11" s="23"/>
    </row>
    <row r="12" spans="1:28" ht="21.95" customHeight="1" x14ac:dyDescent="0.3">
      <c r="A12" s="23"/>
      <c r="B12" s="23"/>
      <c r="C12" s="23"/>
      <c r="D12" s="23"/>
      <c r="E12" s="23"/>
      <c r="F12" s="23"/>
      <c r="G12" s="23"/>
      <c r="H12" s="23"/>
      <c r="I12" s="23"/>
      <c r="J12" s="23"/>
      <c r="K12" s="23"/>
      <c r="L12" s="23"/>
      <c r="M12" s="23"/>
      <c r="N12" s="23"/>
      <c r="O12" s="23"/>
      <c r="P12" s="23"/>
      <c r="Q12" s="23"/>
      <c r="R12" s="23"/>
      <c r="S12" s="23"/>
      <c r="T12" s="23"/>
      <c r="U12" s="23"/>
      <c r="V12" s="23"/>
      <c r="W12" s="23"/>
    </row>
    <row r="13" spans="1:28" ht="21.95" customHeight="1" x14ac:dyDescent="0.3">
      <c r="A13" s="23"/>
      <c r="B13" s="23"/>
      <c r="C13" s="23"/>
      <c r="D13" s="23"/>
      <c r="E13" s="23"/>
      <c r="F13" s="23"/>
      <c r="G13" s="23"/>
      <c r="H13" s="23"/>
      <c r="I13" s="23"/>
      <c r="J13" s="23"/>
      <c r="K13" s="23"/>
      <c r="L13" s="23"/>
      <c r="M13" s="23"/>
      <c r="N13" s="23"/>
      <c r="O13" s="23"/>
      <c r="P13" s="23"/>
      <c r="Q13" s="23"/>
      <c r="R13" s="23"/>
      <c r="S13" s="23"/>
      <c r="T13" s="23"/>
      <c r="U13" s="23"/>
      <c r="V13" s="23"/>
      <c r="W13" s="23"/>
    </row>
    <row r="14" spans="1:28" ht="21.95" customHeight="1" x14ac:dyDescent="0.3">
      <c r="A14" s="23"/>
      <c r="B14" s="23"/>
      <c r="C14" s="23"/>
      <c r="D14" s="23"/>
      <c r="E14" s="23"/>
      <c r="F14" s="23"/>
      <c r="G14" s="23"/>
      <c r="H14" s="23"/>
      <c r="I14" s="23"/>
      <c r="J14" s="23"/>
      <c r="K14" s="23"/>
      <c r="L14" s="23"/>
      <c r="M14" s="23"/>
      <c r="N14" s="23"/>
      <c r="O14" s="23"/>
      <c r="P14" s="23"/>
      <c r="Q14" s="23"/>
      <c r="R14" s="23"/>
      <c r="S14" s="23"/>
      <c r="T14" s="23"/>
      <c r="U14" s="23"/>
      <c r="V14" s="23"/>
      <c r="W14" s="23"/>
    </row>
    <row r="15" spans="1:28" ht="21.95" customHeight="1" x14ac:dyDescent="0.3">
      <c r="A15" s="23"/>
      <c r="B15" s="23"/>
      <c r="C15" s="23"/>
      <c r="D15" s="23"/>
      <c r="E15" s="23"/>
      <c r="F15" s="23"/>
      <c r="G15" s="23"/>
      <c r="H15" s="23"/>
      <c r="I15" s="23"/>
      <c r="J15" s="23"/>
      <c r="K15" s="23"/>
      <c r="L15" s="23"/>
      <c r="M15" s="23"/>
      <c r="N15" s="23"/>
      <c r="O15" s="23"/>
      <c r="P15" s="23"/>
      <c r="Q15" s="23"/>
      <c r="R15" s="23"/>
      <c r="S15" s="23"/>
      <c r="T15" s="23"/>
      <c r="U15" s="23"/>
      <c r="V15" s="23"/>
      <c r="W15" s="23"/>
    </row>
    <row r="16" spans="1:28" ht="21.95" customHeight="1" x14ac:dyDescent="0.3">
      <c r="A16" s="23"/>
      <c r="B16" s="23"/>
      <c r="C16" s="23"/>
      <c r="D16" s="23"/>
      <c r="E16" s="23"/>
      <c r="F16" s="23"/>
      <c r="G16" s="23"/>
      <c r="H16" s="23"/>
      <c r="I16" s="23"/>
      <c r="J16" s="23"/>
      <c r="K16" s="23"/>
      <c r="L16" s="23"/>
      <c r="M16" s="23"/>
      <c r="N16" s="23"/>
      <c r="O16" s="23"/>
      <c r="P16" s="23"/>
      <c r="Q16" s="23"/>
      <c r="R16" s="23"/>
      <c r="S16" s="23"/>
      <c r="T16" s="23"/>
      <c r="U16" s="23"/>
      <c r="V16" s="23"/>
      <c r="W16" s="23"/>
    </row>
    <row r="17" spans="1:23" ht="21.95" customHeight="1" x14ac:dyDescent="0.3">
      <c r="A17" s="23"/>
      <c r="B17" s="23"/>
      <c r="C17" s="23"/>
      <c r="D17" s="23"/>
      <c r="E17" s="23"/>
      <c r="F17" s="23"/>
      <c r="G17" s="23"/>
      <c r="H17" s="23"/>
      <c r="I17" s="23"/>
      <c r="J17" s="23"/>
      <c r="K17" s="23"/>
      <c r="L17" s="23"/>
      <c r="M17" s="23"/>
      <c r="N17" s="23"/>
      <c r="O17" s="23"/>
      <c r="P17" s="23"/>
      <c r="Q17" s="23"/>
      <c r="R17" s="23"/>
      <c r="S17" s="23"/>
      <c r="T17" s="23"/>
      <c r="U17" s="23"/>
      <c r="V17" s="23"/>
      <c r="W17" s="23"/>
    </row>
    <row r="18" spans="1:23" ht="21.95" customHeight="1" x14ac:dyDescent="0.3">
      <c r="A18" s="23"/>
      <c r="B18" s="23"/>
      <c r="C18" s="23"/>
      <c r="D18" s="23"/>
      <c r="E18" s="23"/>
      <c r="F18" s="23"/>
      <c r="G18" s="23"/>
      <c r="H18" s="23"/>
      <c r="I18" s="23"/>
      <c r="J18" s="23"/>
      <c r="K18" s="23"/>
      <c r="L18" s="23"/>
      <c r="M18" s="23"/>
      <c r="N18" s="23"/>
      <c r="O18" s="23"/>
      <c r="P18" s="23"/>
      <c r="Q18" s="23"/>
      <c r="R18" s="23"/>
      <c r="S18" s="23"/>
      <c r="T18" s="23"/>
      <c r="U18" s="23"/>
      <c r="V18" s="23"/>
      <c r="W18" s="23"/>
    </row>
    <row r="19" spans="1:23" ht="21.95" customHeight="1" x14ac:dyDescent="0.3">
      <c r="A19" s="23"/>
      <c r="B19" s="23"/>
      <c r="C19" s="23"/>
      <c r="D19" s="23"/>
      <c r="E19" s="23"/>
      <c r="F19" s="23"/>
      <c r="G19" s="23"/>
      <c r="H19" s="23"/>
      <c r="I19" s="23"/>
      <c r="J19" s="23"/>
      <c r="K19" s="23"/>
      <c r="L19" s="23"/>
      <c r="M19" s="23"/>
      <c r="N19" s="23"/>
      <c r="O19" s="23"/>
      <c r="P19" s="23"/>
      <c r="Q19" s="23"/>
      <c r="R19" s="23"/>
      <c r="S19" s="23"/>
      <c r="T19" s="23"/>
      <c r="U19" s="23"/>
      <c r="V19" s="23"/>
      <c r="W19" s="23"/>
    </row>
    <row r="20" spans="1:23" ht="21.95" customHeight="1" x14ac:dyDescent="0.3">
      <c r="A20" s="23"/>
      <c r="B20" s="23"/>
      <c r="C20" s="23"/>
      <c r="D20" s="23"/>
      <c r="E20" s="23"/>
      <c r="F20" s="23"/>
      <c r="G20" s="23"/>
      <c r="H20" s="23"/>
      <c r="I20" s="23"/>
      <c r="J20" s="23"/>
      <c r="K20" s="23"/>
      <c r="L20" s="23"/>
      <c r="M20" s="23"/>
      <c r="N20" s="23"/>
      <c r="O20" s="23"/>
      <c r="P20" s="23"/>
      <c r="Q20" s="23"/>
      <c r="R20" s="23"/>
      <c r="S20" s="23"/>
      <c r="T20" s="23"/>
      <c r="U20" s="23"/>
      <c r="V20" s="23"/>
      <c r="W20" s="23"/>
    </row>
    <row r="21" spans="1:23" ht="21.95" customHeight="1" x14ac:dyDescent="0.3">
      <c r="A21" s="23"/>
      <c r="B21" s="23"/>
      <c r="C21" s="23"/>
      <c r="D21" s="23"/>
      <c r="E21" s="23"/>
      <c r="F21" s="23"/>
      <c r="G21" s="23"/>
      <c r="H21" s="23"/>
      <c r="I21" s="23"/>
      <c r="J21" s="23"/>
      <c r="K21" s="23"/>
      <c r="L21" s="23"/>
      <c r="M21" s="23"/>
      <c r="N21" s="23"/>
      <c r="O21" s="23"/>
      <c r="P21" s="23"/>
      <c r="Q21" s="23"/>
      <c r="R21" s="23"/>
      <c r="S21" s="23"/>
      <c r="T21" s="23"/>
      <c r="U21" s="23"/>
      <c r="V21" s="23"/>
      <c r="W21" s="23"/>
    </row>
    <row r="22" spans="1:23" ht="21.95" customHeight="1" x14ac:dyDescent="0.3">
      <c r="A22" s="23"/>
      <c r="B22" s="23"/>
      <c r="C22" s="23"/>
      <c r="D22" s="23"/>
      <c r="E22" s="23"/>
      <c r="F22" s="23"/>
      <c r="G22" s="23"/>
      <c r="H22" s="23"/>
      <c r="I22" s="23"/>
      <c r="J22" s="23"/>
      <c r="K22" s="23"/>
      <c r="L22" s="23"/>
      <c r="M22" s="23"/>
      <c r="N22" s="23"/>
      <c r="O22" s="23"/>
      <c r="P22" s="23"/>
      <c r="Q22" s="23"/>
      <c r="R22" s="23"/>
      <c r="S22" s="23"/>
      <c r="T22" s="23"/>
      <c r="U22" s="23"/>
      <c r="V22" s="23"/>
      <c r="W22" s="23"/>
    </row>
    <row r="23" spans="1:23" ht="21.95" customHeight="1" x14ac:dyDescent="0.3">
      <c r="A23" s="23"/>
      <c r="B23" s="23"/>
      <c r="C23" s="23"/>
      <c r="D23" s="23"/>
      <c r="E23" s="23"/>
      <c r="F23" s="23"/>
      <c r="G23" s="23"/>
      <c r="H23" s="23"/>
      <c r="I23" s="23"/>
      <c r="J23" s="23"/>
      <c r="K23" s="23"/>
      <c r="L23" s="23"/>
      <c r="M23" s="23"/>
      <c r="N23" s="23"/>
      <c r="O23" s="23"/>
      <c r="P23" s="23"/>
      <c r="Q23" s="23"/>
      <c r="R23" s="23"/>
      <c r="S23" s="23"/>
      <c r="T23" s="23"/>
      <c r="U23" s="23"/>
      <c r="V23" s="23"/>
      <c r="W23" s="23"/>
    </row>
    <row r="24" spans="1:23" ht="21.95" customHeight="1" x14ac:dyDescent="0.3">
      <c r="A24" s="23"/>
      <c r="B24" s="23"/>
      <c r="C24" s="23"/>
      <c r="D24" s="23"/>
      <c r="E24" s="23"/>
      <c r="F24" s="23"/>
      <c r="G24" s="23"/>
      <c r="H24" s="23"/>
      <c r="I24" s="23"/>
      <c r="J24" s="23"/>
      <c r="K24" s="23"/>
      <c r="L24" s="23"/>
      <c r="M24" s="23"/>
      <c r="N24" s="23"/>
      <c r="O24" s="23"/>
      <c r="P24" s="23"/>
      <c r="Q24" s="23"/>
      <c r="R24" s="23"/>
      <c r="S24" s="23"/>
      <c r="T24" s="23"/>
      <c r="U24" s="23"/>
      <c r="V24" s="23"/>
      <c r="W24" s="23"/>
    </row>
    <row r="25" spans="1:23" ht="21.95" customHeight="1" x14ac:dyDescent="0.3">
      <c r="A25" s="23"/>
      <c r="B25" s="23"/>
      <c r="C25" s="23"/>
      <c r="D25" s="23"/>
      <c r="E25" s="23"/>
      <c r="F25" s="23"/>
      <c r="G25" s="23"/>
      <c r="H25" s="23"/>
      <c r="I25" s="23"/>
      <c r="J25" s="23"/>
      <c r="K25" s="23"/>
      <c r="L25" s="23"/>
      <c r="M25" s="23"/>
      <c r="N25" s="23"/>
      <c r="O25" s="23"/>
      <c r="P25" s="23"/>
      <c r="Q25" s="23"/>
      <c r="R25" s="23"/>
      <c r="S25" s="23"/>
      <c r="T25" s="23"/>
      <c r="U25" s="23"/>
      <c r="V25" s="23"/>
      <c r="W25" s="23"/>
    </row>
    <row r="26" spans="1:23" ht="21.95" customHeight="1" x14ac:dyDescent="0.3">
      <c r="A26" s="23"/>
      <c r="B26" s="23"/>
      <c r="C26" s="23"/>
      <c r="D26" s="23"/>
      <c r="E26" s="23"/>
      <c r="F26" s="23"/>
      <c r="G26" s="23"/>
      <c r="H26" s="23"/>
      <c r="I26" s="23"/>
      <c r="J26" s="23"/>
      <c r="K26" s="23"/>
      <c r="L26" s="23"/>
      <c r="M26" s="23"/>
      <c r="N26" s="23"/>
      <c r="O26" s="23"/>
      <c r="P26" s="23"/>
      <c r="Q26" s="23"/>
      <c r="R26" s="23"/>
      <c r="S26" s="23"/>
      <c r="T26" s="23"/>
      <c r="U26" s="23"/>
      <c r="V26" s="23"/>
      <c r="W26" s="23"/>
    </row>
    <row r="27" spans="1:23" ht="21.95" customHeight="1" x14ac:dyDescent="0.3">
      <c r="A27" s="23"/>
      <c r="B27" s="23"/>
      <c r="C27" s="23"/>
      <c r="D27" s="23"/>
      <c r="E27" s="23"/>
      <c r="F27" s="23"/>
      <c r="G27" s="23"/>
      <c r="H27" s="23"/>
      <c r="I27" s="23"/>
      <c r="J27" s="23"/>
      <c r="K27" s="23"/>
      <c r="L27" s="23"/>
      <c r="M27" s="23"/>
      <c r="N27" s="23"/>
      <c r="O27" s="23"/>
      <c r="P27" s="23"/>
      <c r="Q27" s="23"/>
      <c r="R27" s="23"/>
      <c r="S27" s="23"/>
      <c r="T27" s="23"/>
      <c r="U27" s="23"/>
      <c r="V27" s="23"/>
      <c r="W27" s="23"/>
    </row>
    <row r="28" spans="1:23" ht="21.95" customHeight="1" x14ac:dyDescent="0.3">
      <c r="A28" s="23"/>
      <c r="B28" s="23"/>
      <c r="C28" s="23"/>
      <c r="D28" s="23"/>
      <c r="E28" s="23"/>
      <c r="F28" s="23"/>
      <c r="G28" s="23"/>
      <c r="H28" s="23"/>
      <c r="I28" s="23"/>
      <c r="J28" s="23"/>
      <c r="K28" s="23"/>
      <c r="L28" s="23"/>
      <c r="M28" s="23"/>
      <c r="N28" s="23"/>
      <c r="O28" s="23"/>
      <c r="P28" s="23"/>
      <c r="Q28" s="23"/>
      <c r="R28" s="23"/>
      <c r="S28" s="23"/>
      <c r="T28" s="23"/>
      <c r="U28" s="23"/>
      <c r="V28" s="23"/>
      <c r="W28" s="23"/>
    </row>
    <row r="29" spans="1:23" ht="21.95" customHeight="1" x14ac:dyDescent="0.3">
      <c r="A29" s="23"/>
      <c r="B29" s="23"/>
      <c r="C29" s="23"/>
      <c r="D29" s="23"/>
      <c r="E29" s="23"/>
      <c r="F29" s="23"/>
      <c r="G29" s="23"/>
      <c r="H29" s="23"/>
      <c r="I29" s="23"/>
      <c r="J29" s="23"/>
      <c r="K29" s="23"/>
      <c r="L29" s="23"/>
      <c r="M29" s="23"/>
      <c r="N29" s="23"/>
      <c r="O29" s="23"/>
      <c r="P29" s="23"/>
      <c r="Q29" s="23"/>
      <c r="R29" s="23"/>
      <c r="S29" s="23"/>
      <c r="T29" s="23"/>
      <c r="U29" s="23"/>
      <c r="V29" s="23"/>
      <c r="W29" s="23"/>
    </row>
    <row r="30" spans="1:23" ht="21.95" customHeight="1" x14ac:dyDescent="0.3">
      <c r="A30" s="23"/>
      <c r="B30" s="23"/>
      <c r="C30" s="23"/>
      <c r="D30" s="23"/>
      <c r="E30" s="23"/>
      <c r="F30" s="23"/>
      <c r="G30" s="23"/>
      <c r="H30" s="23"/>
      <c r="I30" s="23"/>
      <c r="J30" s="23"/>
      <c r="K30" s="23"/>
      <c r="L30" s="23"/>
      <c r="M30" s="23"/>
      <c r="N30" s="23"/>
      <c r="O30" s="23"/>
      <c r="P30" s="23"/>
      <c r="Q30" s="23"/>
      <c r="R30" s="23"/>
      <c r="S30" s="23"/>
      <c r="T30" s="23"/>
      <c r="U30" s="23"/>
      <c r="V30" s="23"/>
      <c r="W30" s="23"/>
    </row>
    <row r="31" spans="1:23" ht="21.95" customHeight="1" x14ac:dyDescent="0.3">
      <c r="A31" s="23"/>
      <c r="B31" s="23"/>
      <c r="C31" s="23"/>
      <c r="D31" s="23"/>
      <c r="E31" s="23"/>
      <c r="F31" s="23"/>
      <c r="G31" s="23"/>
      <c r="H31" s="23"/>
      <c r="I31" s="23"/>
      <c r="J31" s="23"/>
      <c r="K31" s="23"/>
      <c r="L31" s="23"/>
      <c r="M31" s="23"/>
      <c r="N31" s="23"/>
      <c r="O31" s="23"/>
      <c r="P31" s="23"/>
      <c r="Q31" s="23"/>
      <c r="R31" s="23"/>
      <c r="S31" s="23"/>
      <c r="T31" s="23"/>
      <c r="U31" s="23"/>
      <c r="V31" s="23"/>
      <c r="W31" s="23"/>
    </row>
  </sheetData>
  <mergeCells count="1">
    <mergeCell ref="B1:W3"/>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Index</vt:lpstr>
      <vt:lpstr>V1</vt:lpstr>
      <vt:lpstr>V2</vt:lpstr>
      <vt:lpstr>V3</vt:lpstr>
      <vt:lpstr>V4</vt:lpstr>
      <vt:lpstr>V5</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Anash mohmad</dc:creator>
  <cp:lastModifiedBy>Anash mohmad</cp:lastModifiedBy>
  <dcterms:created xsi:type="dcterms:W3CDTF">2026-08-04T17:13:13Z</dcterms:created>
  <dcterms:modified xsi:type="dcterms:W3CDTF">2026-08-07T18:36:54Z</dcterms:modified>
</cp:coreProperties>
</file>